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RIKA\Downloads\"/>
    </mc:Choice>
  </mc:AlternateContent>
  <xr:revisionPtr revIDLastSave="0" documentId="13_ncr:1_{34E208F1-2C87-4A99-80B3-80232B2555B5}" xr6:coauthVersionLast="47" xr6:coauthVersionMax="47" xr10:uidLastSave="{00000000-0000-0000-0000-000000000000}"/>
  <bookViews>
    <workbookView xWindow="-108" yWindow="-108" windowWidth="23256" windowHeight="13176" activeTab="1" xr2:uid="{2E2BC66A-E874-4B27-9784-6D108B98BA75}"/>
  </bookViews>
  <sheets>
    <sheet name="Sheet1" sheetId="3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K4" i="3"/>
  <c r="K3" i="3"/>
  <c r="G13" i="3" s="1"/>
  <c r="H3" i="3"/>
  <c r="K2" i="3"/>
  <c r="H2" i="3"/>
  <c r="AH71" i="2"/>
  <c r="W71" i="2"/>
  <c r="L71" i="2"/>
  <c r="AH70" i="2"/>
  <c r="W70" i="2"/>
  <c r="L70" i="2"/>
  <c r="AH69" i="2"/>
  <c r="W69" i="2"/>
  <c r="L69" i="2"/>
  <c r="AH68" i="2"/>
  <c r="W68" i="2"/>
  <c r="L68" i="2"/>
  <c r="AH67" i="2"/>
  <c r="W67" i="2"/>
  <c r="L67" i="2"/>
  <c r="AH66" i="2"/>
  <c r="W66" i="2"/>
  <c r="L66" i="2"/>
  <c r="AH65" i="2"/>
  <c r="W65" i="2"/>
  <c r="L65" i="2"/>
  <c r="AH64" i="2"/>
  <c r="W64" i="2"/>
  <c r="L64" i="2"/>
  <c r="AH63" i="2"/>
  <c r="W63" i="2"/>
  <c r="L63" i="2"/>
  <c r="AH62" i="2"/>
  <c r="W62" i="2"/>
  <c r="L62" i="2"/>
  <c r="AH61" i="2"/>
  <c r="W61" i="2"/>
  <c r="L61" i="2"/>
  <c r="AH60" i="2"/>
  <c r="W60" i="2"/>
  <c r="L60" i="2"/>
  <c r="AH59" i="2"/>
  <c r="W59" i="2"/>
  <c r="L59" i="2"/>
  <c r="AH58" i="2"/>
  <c r="W58" i="2"/>
  <c r="L58" i="2"/>
  <c r="AH57" i="2"/>
  <c r="W57" i="2"/>
  <c r="L57" i="2"/>
  <c r="AH56" i="2"/>
  <c r="W56" i="2"/>
  <c r="L56" i="2"/>
  <c r="AH55" i="2"/>
  <c r="W55" i="2"/>
  <c r="L55" i="2"/>
  <c r="AH54" i="2"/>
  <c r="W54" i="2"/>
  <c r="L54" i="2"/>
  <c r="AH53" i="2"/>
  <c r="W53" i="2"/>
  <c r="L53" i="2"/>
  <c r="AH52" i="2"/>
  <c r="W52" i="2"/>
  <c r="L52" i="2"/>
  <c r="AH51" i="2"/>
  <c r="W51" i="2"/>
  <c r="L51" i="2"/>
  <c r="AH50" i="2"/>
  <c r="W50" i="2"/>
  <c r="L50" i="2"/>
  <c r="AH49" i="2"/>
  <c r="W49" i="2"/>
  <c r="L49" i="2"/>
  <c r="AH48" i="2"/>
  <c r="W48" i="2"/>
  <c r="L48" i="2"/>
  <c r="AH47" i="2"/>
  <c r="W47" i="2"/>
  <c r="L47" i="2"/>
  <c r="AH46" i="2"/>
  <c r="W46" i="2"/>
  <c r="L46" i="2"/>
  <c r="AH45" i="2"/>
  <c r="W45" i="2"/>
  <c r="L45" i="2"/>
  <c r="AH44" i="2"/>
  <c r="W44" i="2"/>
  <c r="L44" i="2"/>
  <c r="AH43" i="2"/>
  <c r="W43" i="2"/>
  <c r="L43" i="2"/>
  <c r="AH42" i="2"/>
  <c r="W42" i="2"/>
  <c r="L42" i="2"/>
  <c r="AH41" i="2"/>
  <c r="W41" i="2"/>
  <c r="L41" i="2"/>
  <c r="AH40" i="2"/>
  <c r="W40" i="2"/>
  <c r="L40" i="2"/>
  <c r="AH39" i="2"/>
  <c r="W39" i="2"/>
  <c r="L39" i="2"/>
  <c r="AH38" i="2"/>
  <c r="W38" i="2"/>
  <c r="L38" i="2"/>
  <c r="AH37" i="2"/>
  <c r="W37" i="2"/>
  <c r="L37" i="2"/>
  <c r="AH36" i="2"/>
  <c r="W36" i="2"/>
  <c r="L36" i="2"/>
  <c r="AH35" i="2"/>
  <c r="W35" i="2"/>
  <c r="L35" i="2"/>
  <c r="AH34" i="2"/>
  <c r="W34" i="2"/>
  <c r="L34" i="2"/>
  <c r="AH33" i="2"/>
  <c r="W33" i="2"/>
  <c r="L33" i="2"/>
  <c r="AH32" i="2"/>
  <c r="W32" i="2"/>
  <c r="L32" i="2"/>
  <c r="AH31" i="2"/>
  <c r="W31" i="2"/>
  <c r="L31" i="2"/>
  <c r="BC30" i="2"/>
  <c r="AH30" i="2"/>
  <c r="W30" i="2"/>
  <c r="L30" i="2"/>
  <c r="BC29" i="2"/>
  <c r="AH29" i="2"/>
  <c r="W29" i="2"/>
  <c r="L29" i="2"/>
  <c r="BC28" i="2"/>
  <c r="AH28" i="2"/>
  <c r="W28" i="2"/>
  <c r="L28" i="2"/>
  <c r="BC27" i="2"/>
  <c r="AL27" i="2"/>
  <c r="AH27" i="2"/>
  <c r="W27" i="2"/>
  <c r="L27" i="2"/>
  <c r="BC26" i="2"/>
  <c r="AH26" i="2"/>
  <c r="W26" i="2"/>
  <c r="L26" i="2"/>
  <c r="BC25" i="2"/>
  <c r="AH25" i="2"/>
  <c r="W25" i="2"/>
  <c r="L25" i="2"/>
  <c r="BC24" i="2"/>
  <c r="AH24" i="2"/>
  <c r="W24" i="2"/>
  <c r="L24" i="2"/>
  <c r="BC23" i="2"/>
  <c r="AH23" i="2"/>
  <c r="W23" i="2"/>
  <c r="L23" i="2"/>
  <c r="BC22" i="2"/>
  <c r="AH22" i="2"/>
  <c r="W22" i="2"/>
  <c r="L22" i="2"/>
  <c r="BC21" i="2"/>
  <c r="AH21" i="2"/>
  <c r="W21" i="2"/>
  <c r="L21" i="2"/>
  <c r="BC20" i="2"/>
  <c r="AH20" i="2"/>
  <c r="W20" i="2"/>
  <c r="L20" i="2"/>
  <c r="BC19" i="2"/>
  <c r="AH19" i="2"/>
  <c r="W19" i="2"/>
  <c r="L19" i="2"/>
  <c r="BC18" i="2"/>
  <c r="AH18" i="2"/>
  <c r="W18" i="2"/>
  <c r="L18" i="2"/>
  <c r="BC17" i="2"/>
  <c r="AM17" i="2"/>
  <c r="AH17" i="2"/>
  <c r="W17" i="2"/>
  <c r="L17" i="2"/>
  <c r="BC16" i="2"/>
  <c r="AH16" i="2"/>
  <c r="W16" i="2"/>
  <c r="L16" i="2"/>
  <c r="BC15" i="2"/>
  <c r="AH15" i="2"/>
  <c r="W15" i="2"/>
  <c r="L15" i="2"/>
  <c r="BC14" i="2"/>
  <c r="AH14" i="2"/>
  <c r="W14" i="2"/>
  <c r="L14" i="2"/>
  <c r="BC13" i="2"/>
  <c r="AH13" i="2"/>
  <c r="W13" i="2"/>
  <c r="L13" i="2"/>
  <c r="BC12" i="2"/>
  <c r="AH12" i="2"/>
  <c r="W12" i="2"/>
  <c r="L12" i="2"/>
  <c r="BC11" i="2"/>
  <c r="AH11" i="2"/>
  <c r="W11" i="2"/>
  <c r="L11" i="2"/>
  <c r="BC10" i="2"/>
  <c r="AH10" i="2"/>
  <c r="W10" i="2"/>
  <c r="L10" i="2"/>
  <c r="BC9" i="2"/>
  <c r="AH9" i="2"/>
  <c r="W9" i="2"/>
  <c r="L9" i="2"/>
  <c r="BC8" i="2"/>
  <c r="AH8" i="2"/>
  <c r="W8" i="2"/>
  <c r="L8" i="2"/>
  <c r="BC7" i="2"/>
  <c r="AH7" i="2"/>
  <c r="W7" i="2"/>
  <c r="L7" i="2"/>
  <c r="BC6" i="2"/>
  <c r="AL6" i="2"/>
  <c r="AH6" i="2"/>
  <c r="W6" i="2"/>
  <c r="L6" i="2"/>
  <c r="BC5" i="2"/>
  <c r="AH5" i="2"/>
  <c r="W5" i="2"/>
  <c r="L5" i="2"/>
  <c r="BC4" i="2"/>
  <c r="AO4" i="2"/>
  <c r="AP4" i="2" s="1"/>
  <c r="AV4" i="2" s="1"/>
  <c r="AH4" i="2"/>
  <c r="W4" i="2"/>
  <c r="X4" i="2" s="1"/>
  <c r="L4" i="2"/>
  <c r="BC3" i="2"/>
  <c r="AP3" i="2"/>
  <c r="AH3" i="2"/>
  <c r="AI3" i="2" s="1"/>
  <c r="AI4" i="2" s="1"/>
  <c r="AI5" i="2" s="1"/>
  <c r="AI6" i="2" s="1"/>
  <c r="AI7" i="2" s="1"/>
  <c r="AI8" i="2" s="1"/>
  <c r="AI9" i="2" s="1"/>
  <c r="AI10" i="2" s="1"/>
  <c r="AI11" i="2" s="1"/>
  <c r="AI12" i="2" s="1"/>
  <c r="AI13" i="2" s="1"/>
  <c r="W3" i="2"/>
  <c r="X3" i="2" s="1"/>
  <c r="AX3" i="2" s="1"/>
  <c r="M3" i="2"/>
  <c r="L3" i="2"/>
  <c r="AI14" i="2" l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X5" i="2"/>
  <c r="AX4" i="2"/>
  <c r="AO5" i="2"/>
  <c r="AV3" i="2"/>
  <c r="M4" i="2"/>
  <c r="AN8" i="2"/>
  <c r="X6" i="2" l="1"/>
  <c r="AX5" i="2"/>
  <c r="M5" i="2"/>
  <c r="AO6" i="2"/>
  <c r="AP5" i="2"/>
  <c r="BD21" i="2"/>
  <c r="BE21" i="2" s="1"/>
  <c r="BF21" i="2" s="1"/>
  <c r="AW21" i="2" s="1"/>
  <c r="BD10" i="2"/>
  <c r="BE10" i="2" s="1"/>
  <c r="BF10" i="2" s="1"/>
  <c r="AW10" i="2" s="1"/>
  <c r="BD4" i="2"/>
  <c r="BE4" i="2" s="1"/>
  <c r="BF4" i="2" s="1"/>
  <c r="AW4" i="2" s="1"/>
  <c r="BD27" i="2"/>
  <c r="BE27" i="2" s="1"/>
  <c r="BF27" i="2" s="1"/>
  <c r="AW27" i="2" s="1"/>
  <c r="BD22" i="2"/>
  <c r="BE22" i="2" s="1"/>
  <c r="BF22" i="2" s="1"/>
  <c r="AW22" i="2" s="1"/>
  <c r="BD16" i="2"/>
  <c r="BE16" i="2" s="1"/>
  <c r="BF16" i="2" s="1"/>
  <c r="AW16" i="2" s="1"/>
  <c r="BD28" i="2"/>
  <c r="BE28" i="2" s="1"/>
  <c r="BF28" i="2" s="1"/>
  <c r="AW28" i="2" s="1"/>
  <c r="BD17" i="2"/>
  <c r="BE17" i="2" s="1"/>
  <c r="BF17" i="2" s="1"/>
  <c r="AW17" i="2" s="1"/>
  <c r="BD29" i="2"/>
  <c r="BE29" i="2" s="1"/>
  <c r="BF29" i="2" s="1"/>
  <c r="AW29" i="2" s="1"/>
  <c r="BD18" i="2"/>
  <c r="BE18" i="2" s="1"/>
  <c r="BF18" i="2" s="1"/>
  <c r="AW18" i="2" s="1"/>
  <c r="BD6" i="2"/>
  <c r="BE6" i="2" s="1"/>
  <c r="BF6" i="2" s="1"/>
  <c r="AW6" i="2" s="1"/>
  <c r="BD23" i="2"/>
  <c r="BE23" i="2" s="1"/>
  <c r="BF23" i="2" s="1"/>
  <c r="AW23" i="2" s="1"/>
  <c r="BD12" i="2"/>
  <c r="BE12" i="2" s="1"/>
  <c r="BF12" i="2" s="1"/>
  <c r="AW12" i="2" s="1"/>
  <c r="BD30" i="2"/>
  <c r="BE30" i="2" s="1"/>
  <c r="BF30" i="2" s="1"/>
  <c r="AW30" i="2" s="1"/>
  <c r="BD19" i="2"/>
  <c r="BE19" i="2" s="1"/>
  <c r="BF19" i="2" s="1"/>
  <c r="AW19" i="2" s="1"/>
  <c r="BD8" i="2"/>
  <c r="BE8" i="2" s="1"/>
  <c r="BF8" i="2" s="1"/>
  <c r="AW8" i="2" s="1"/>
  <c r="BD20" i="2"/>
  <c r="BE20" i="2" s="1"/>
  <c r="BF20" i="2" s="1"/>
  <c r="AW20" i="2" s="1"/>
  <c r="BD9" i="2"/>
  <c r="BE9" i="2" s="1"/>
  <c r="BF9" i="2" s="1"/>
  <c r="AW9" i="2" s="1"/>
  <c r="BD3" i="2"/>
  <c r="BE3" i="2" s="1"/>
  <c r="BF3" i="2" s="1"/>
  <c r="AW3" i="2" s="1"/>
  <c r="BD15" i="2"/>
  <c r="BE15" i="2" s="1"/>
  <c r="BF15" i="2" s="1"/>
  <c r="AW15" i="2" s="1"/>
  <c r="BD14" i="2"/>
  <c r="BE14" i="2" s="1"/>
  <c r="BF14" i="2" s="1"/>
  <c r="AW14" i="2" s="1"/>
  <c r="BD13" i="2"/>
  <c r="BE13" i="2" s="1"/>
  <c r="BF13" i="2" s="1"/>
  <c r="AW13" i="2" s="1"/>
  <c r="BD26" i="2"/>
  <c r="BE26" i="2" s="1"/>
  <c r="BF26" i="2" s="1"/>
  <c r="AW26" i="2" s="1"/>
  <c r="BD24" i="2"/>
  <c r="BE24" i="2" s="1"/>
  <c r="BF24" i="2" s="1"/>
  <c r="AW24" i="2" s="1"/>
  <c r="BD25" i="2"/>
  <c r="BE25" i="2" s="1"/>
  <c r="BF25" i="2" s="1"/>
  <c r="AW25" i="2" s="1"/>
  <c r="BD11" i="2"/>
  <c r="BE11" i="2" s="1"/>
  <c r="BF11" i="2" s="1"/>
  <c r="AW11" i="2" s="1"/>
  <c r="BD5" i="2"/>
  <c r="BE5" i="2" s="1"/>
  <c r="BF5" i="2" s="1"/>
  <c r="AW5" i="2" s="1"/>
  <c r="BD7" i="2"/>
  <c r="BE7" i="2" s="1"/>
  <c r="BF7" i="2" s="1"/>
  <c r="AW7" i="2" s="1"/>
  <c r="BI24" i="2" l="1"/>
  <c r="BI28" i="2"/>
  <c r="BI16" i="2"/>
  <c r="BI27" i="2"/>
  <c r="BI9" i="2"/>
  <c r="BI21" i="2"/>
  <c r="AV5" i="2"/>
  <c r="BH5" i="2" s="1"/>
  <c r="BL5" i="2" s="1"/>
  <c r="BI30" i="2"/>
  <c r="BI12" i="2"/>
  <c r="M6" i="2"/>
  <c r="BK5" i="2"/>
  <c r="BI26" i="2"/>
  <c r="BI22" i="2"/>
  <c r="AZ3" i="2"/>
  <c r="BH3" i="2"/>
  <c r="BI3" i="2"/>
  <c r="BG3" i="2"/>
  <c r="BJ3" i="2" s="1"/>
  <c r="BK3" i="2"/>
  <c r="BI10" i="2"/>
  <c r="BI8" i="2"/>
  <c r="BI19" i="2"/>
  <c r="AO7" i="2"/>
  <c r="AP6" i="2"/>
  <c r="BK4" i="2"/>
  <c r="BI7" i="2"/>
  <c r="BI23" i="2"/>
  <c r="BI17" i="2"/>
  <c r="BI13" i="2"/>
  <c r="BI14" i="2"/>
  <c r="BI15" i="2"/>
  <c r="AZ4" i="2"/>
  <c r="BG4" i="2" s="1"/>
  <c r="BI4" i="2"/>
  <c r="BM4" i="2" s="1"/>
  <c r="BH4" i="2"/>
  <c r="BL4" i="2" s="1"/>
  <c r="BI20" i="2"/>
  <c r="AZ5" i="2"/>
  <c r="BG5" i="2" s="1"/>
  <c r="BI5" i="2"/>
  <c r="BI6" i="2"/>
  <c r="BI11" i="2"/>
  <c r="BI18" i="2"/>
  <c r="BI25" i="2"/>
  <c r="BI29" i="2"/>
  <c r="X7" i="2"/>
  <c r="BJ4" i="2" l="1"/>
  <c r="AY4" i="2"/>
  <c r="BA4" i="2" s="1"/>
  <c r="BB4" i="2" s="1"/>
  <c r="BJ5" i="2"/>
  <c r="AY5" i="2"/>
  <c r="BA5" i="2" s="1"/>
  <c r="BB5" i="2" s="1"/>
  <c r="BN4" i="2"/>
  <c r="BO4" i="2" s="1"/>
  <c r="AY3" i="2"/>
  <c r="BA3" i="2" s="1"/>
  <c r="BB3" i="2" s="1"/>
  <c r="BM3" i="2"/>
  <c r="BL3" i="2"/>
  <c r="M7" i="2"/>
  <c r="AV6" i="2"/>
  <c r="AP7" i="2"/>
  <c r="AO8" i="2"/>
  <c r="AX6" i="2"/>
  <c r="X8" i="2"/>
  <c r="BM5" i="2"/>
  <c r="BO5" i="2" l="1"/>
  <c r="BH6" i="2"/>
  <c r="BL6" i="2" s="1"/>
  <c r="AZ6" i="2"/>
  <c r="BG6" i="2" s="1"/>
  <c r="M8" i="2"/>
  <c r="BK6" i="2"/>
  <c r="BM6" i="2" s="1"/>
  <c r="AX8" i="2"/>
  <c r="X9" i="2"/>
  <c r="AX7" i="2"/>
  <c r="BK7" i="2" s="1"/>
  <c r="BM7" i="2" s="1"/>
  <c r="BN3" i="2"/>
  <c r="BO3" i="2" s="1"/>
  <c r="AP8" i="2"/>
  <c r="AO9" i="2"/>
  <c r="AV7" i="2"/>
  <c r="BN5" i="2"/>
  <c r="BJ6" i="2" l="1"/>
  <c r="AY6" i="2"/>
  <c r="BA6" i="2" s="1"/>
  <c r="BB6" i="2" s="1"/>
  <c r="BH7" i="2"/>
  <c r="BL7" i="2" s="1"/>
  <c r="AZ7" i="2"/>
  <c r="BG7" i="2" s="1"/>
  <c r="BN6" i="2"/>
  <c r="BO6" i="2" s="1"/>
  <c r="AP9" i="2"/>
  <c r="AO10" i="2"/>
  <c r="AV8" i="2"/>
  <c r="X10" i="2"/>
  <c r="M9" i="2"/>
  <c r="BK8" i="2"/>
  <c r="BM8" i="2" s="1"/>
  <c r="BJ7" i="2" l="1"/>
  <c r="AY7" i="2"/>
  <c r="BA7" i="2" s="1"/>
  <c r="BB7" i="2" s="1"/>
  <c r="M10" i="2"/>
  <c r="AX10" i="2" s="1"/>
  <c r="X11" i="2"/>
  <c r="AX9" i="2"/>
  <c r="AZ8" i="2"/>
  <c r="BG8" i="2" s="1"/>
  <c r="BH8" i="2"/>
  <c r="BL8" i="2" s="1"/>
  <c r="AP10" i="2"/>
  <c r="AO11" i="2"/>
  <c r="AV9" i="2"/>
  <c r="BO7" i="2"/>
  <c r="BN7" i="2"/>
  <c r="BH9" i="2" l="1"/>
  <c r="AZ9" i="2"/>
  <c r="AO12" i="2"/>
  <c r="AP11" i="2"/>
  <c r="AV10" i="2"/>
  <c r="BJ8" i="2"/>
  <c r="AY8" i="2"/>
  <c r="BA8" i="2" s="1"/>
  <c r="BB8" i="2" s="1"/>
  <c r="X12" i="2"/>
  <c r="AX11" i="2"/>
  <c r="BG9" i="2"/>
  <c r="BJ9" i="2" s="1"/>
  <c r="BK9" i="2"/>
  <c r="BM9" i="2" s="1"/>
  <c r="BN8" i="2"/>
  <c r="BO8" i="2"/>
  <c r="M11" i="2"/>
  <c r="X13" i="2" l="1"/>
  <c r="AX12" i="2"/>
  <c r="AZ10" i="2"/>
  <c r="BH10" i="2"/>
  <c r="AV11" i="2"/>
  <c r="AP12" i="2"/>
  <c r="AO13" i="2"/>
  <c r="M12" i="2"/>
  <c r="BK11" i="2"/>
  <c r="BM11" i="2" s="1"/>
  <c r="BK10" i="2"/>
  <c r="BM10" i="2" s="1"/>
  <c r="BL9" i="2"/>
  <c r="BG10" i="2"/>
  <c r="AY9" i="2"/>
  <c r="BA9" i="2" s="1"/>
  <c r="BB9" i="2" s="1"/>
  <c r="X14" i="2" l="1"/>
  <c r="BJ10" i="2"/>
  <c r="AY10" i="2"/>
  <c r="BA10" i="2" s="1"/>
  <c r="BB10" i="2" s="1"/>
  <c r="BN9" i="2"/>
  <c r="BO9" i="2" s="1"/>
  <c r="M13" i="2"/>
  <c r="AO14" i="2"/>
  <c r="AP13" i="2"/>
  <c r="AV12" i="2"/>
  <c r="BH11" i="2"/>
  <c r="BL11" i="2" s="1"/>
  <c r="AZ11" i="2"/>
  <c r="BG11" i="2" s="1"/>
  <c r="BL10" i="2"/>
  <c r="BJ11" i="2" l="1"/>
  <c r="AY11" i="2"/>
  <c r="BA11" i="2" s="1"/>
  <c r="BB11" i="2" s="1"/>
  <c r="BN11" i="2"/>
  <c r="BO11" i="2" s="1"/>
  <c r="BH12" i="2"/>
  <c r="AZ12" i="2"/>
  <c r="AV13" i="2"/>
  <c r="AP14" i="2"/>
  <c r="AO15" i="2"/>
  <c r="BK12" i="2"/>
  <c r="BM12" i="2" s="1"/>
  <c r="BK13" i="2"/>
  <c r="BM13" i="2" s="1"/>
  <c r="M14" i="2"/>
  <c r="AX14" i="2" s="1"/>
  <c r="BG12" i="2"/>
  <c r="BJ12" i="2" s="1"/>
  <c r="AX13" i="2"/>
  <c r="BN10" i="2"/>
  <c r="BO10" i="2" s="1"/>
  <c r="X15" i="2"/>
  <c r="AY12" i="2" l="1"/>
  <c r="BA12" i="2" s="1"/>
  <c r="BB12" i="2" s="1"/>
  <c r="AV14" i="2"/>
  <c r="AO16" i="2"/>
  <c r="AP15" i="2"/>
  <c r="BH13" i="2"/>
  <c r="BL13" i="2" s="1"/>
  <c r="AZ13" i="2"/>
  <c r="BG13" i="2" s="1"/>
  <c r="X16" i="2"/>
  <c r="BL12" i="2"/>
  <c r="BK14" i="2"/>
  <c r="BM14" i="2" s="1"/>
  <c r="M15" i="2"/>
  <c r="M16" i="2" l="1"/>
  <c r="BN12" i="2"/>
  <c r="BO12" i="2" s="1"/>
  <c r="AX15" i="2"/>
  <c r="AX16" i="2"/>
  <c r="X17" i="2"/>
  <c r="BJ13" i="2"/>
  <c r="AY13" i="2"/>
  <c r="BA13" i="2" s="1"/>
  <c r="BB13" i="2" s="1"/>
  <c r="BN13" i="2"/>
  <c r="BO13" i="2" s="1"/>
  <c r="AV15" i="2"/>
  <c r="AO17" i="2"/>
  <c r="AP16" i="2"/>
  <c r="AZ14" i="2"/>
  <c r="BG14" i="2" s="1"/>
  <c r="BH14" i="2"/>
  <c r="BL14" i="2" s="1"/>
  <c r="AY15" i="2" l="1"/>
  <c r="BA15" i="2" s="1"/>
  <c r="BB15" i="2" s="1"/>
  <c r="BK15" i="2"/>
  <c r="BM15" i="2" s="1"/>
  <c r="BH15" i="2"/>
  <c r="BL15" i="2" s="1"/>
  <c r="AZ15" i="2"/>
  <c r="X18" i="2"/>
  <c r="BG15" i="2"/>
  <c r="BJ15" i="2" s="1"/>
  <c r="BN14" i="2"/>
  <c r="BO14" i="2" s="1"/>
  <c r="BJ14" i="2"/>
  <c r="AY14" i="2"/>
  <c r="BA14" i="2" s="1"/>
  <c r="BB14" i="2" s="1"/>
  <c r="AO18" i="2"/>
  <c r="AP17" i="2"/>
  <c r="AV16" i="2"/>
  <c r="M17" i="2"/>
  <c r="M18" i="2" l="1"/>
  <c r="BH16" i="2"/>
  <c r="AZ16" i="2"/>
  <c r="BG16" i="2" s="1"/>
  <c r="AV17" i="2"/>
  <c r="AP18" i="2"/>
  <c r="AO19" i="2"/>
  <c r="AX17" i="2"/>
  <c r="AX18" i="2"/>
  <c r="X19" i="2"/>
  <c r="BK16" i="2"/>
  <c r="BM16" i="2" s="1"/>
  <c r="BN15" i="2"/>
  <c r="BO15" i="2" s="1"/>
  <c r="BG17" i="2" l="1"/>
  <c r="BJ17" i="2" s="1"/>
  <c r="BJ16" i="2"/>
  <c r="AY16" i="2"/>
  <c r="BA16" i="2" s="1"/>
  <c r="BB16" i="2" s="1"/>
  <c r="AP19" i="2"/>
  <c r="AO20" i="2"/>
  <c r="AZ17" i="2"/>
  <c r="BH17" i="2"/>
  <c r="BL17" i="2" s="1"/>
  <c r="M19" i="2"/>
  <c r="AX19" i="2"/>
  <c r="X20" i="2"/>
  <c r="AV18" i="2"/>
  <c r="BL16" i="2"/>
  <c r="BK17" i="2"/>
  <c r="BM17" i="2" s="1"/>
  <c r="BN16" i="2" l="1"/>
  <c r="BO16" i="2" s="1"/>
  <c r="AZ18" i="2"/>
  <c r="BH18" i="2"/>
  <c r="X21" i="2"/>
  <c r="M20" i="2"/>
  <c r="BK19" i="2"/>
  <c r="BM19" i="2" s="1"/>
  <c r="BG18" i="2"/>
  <c r="BJ18" i="2" s="1"/>
  <c r="BK18" i="2"/>
  <c r="BM18" i="2" s="1"/>
  <c r="AY17" i="2"/>
  <c r="BA17" i="2" s="1"/>
  <c r="BB17" i="2" s="1"/>
  <c r="BN17" i="2"/>
  <c r="BO17" i="2"/>
  <c r="AP20" i="2"/>
  <c r="AO21" i="2"/>
  <c r="AV19" i="2"/>
  <c r="M21" i="2" l="1"/>
  <c r="AY18" i="2"/>
  <c r="BA18" i="2" s="1"/>
  <c r="BB18" i="2" s="1"/>
  <c r="X22" i="2"/>
  <c r="AX21" i="2"/>
  <c r="BL18" i="2"/>
  <c r="AP21" i="2"/>
  <c r="AO22" i="2"/>
  <c r="AV20" i="2"/>
  <c r="AX20" i="2"/>
  <c r="BH19" i="2"/>
  <c r="BL19" i="2" s="1"/>
  <c r="AZ19" i="2"/>
  <c r="BG19" i="2" s="1"/>
  <c r="BJ19" i="2" l="1"/>
  <c r="AY19" i="2"/>
  <c r="BA19" i="2" s="1"/>
  <c r="BB19" i="2" s="1"/>
  <c r="BN19" i="2"/>
  <c r="BO19" i="2"/>
  <c r="AZ20" i="2"/>
  <c r="BH20" i="2"/>
  <c r="BL20" i="2" s="1"/>
  <c r="AO23" i="2"/>
  <c r="AP22" i="2"/>
  <c r="AV21" i="2"/>
  <c r="BN18" i="2"/>
  <c r="BO18" i="2"/>
  <c r="X23" i="2"/>
  <c r="AX22" i="2"/>
  <c r="BG20" i="2"/>
  <c r="BJ20" i="2" s="1"/>
  <c r="BK20" i="2"/>
  <c r="BM20" i="2" s="1"/>
  <c r="M22" i="2"/>
  <c r="X24" i="2" l="1"/>
  <c r="AZ21" i="2"/>
  <c r="BH21" i="2"/>
  <c r="AV22" i="2"/>
  <c r="AP23" i="2"/>
  <c r="AO24" i="2"/>
  <c r="BN20" i="2"/>
  <c r="BO20" i="2" s="1"/>
  <c r="BK21" i="2"/>
  <c r="BM21" i="2" s="1"/>
  <c r="BG21" i="2"/>
  <c r="BJ21" i="2" s="1"/>
  <c r="AY21" i="2"/>
  <c r="BA21" i="2" s="1"/>
  <c r="BB21" i="2" s="1"/>
  <c r="M23" i="2"/>
  <c r="AY20" i="2"/>
  <c r="BA20" i="2" s="1"/>
  <c r="BB20" i="2" s="1"/>
  <c r="M24" i="2" l="1"/>
  <c r="AP24" i="2"/>
  <c r="AO25" i="2"/>
  <c r="AV23" i="2"/>
  <c r="AZ22" i="2"/>
  <c r="BG22" i="2" s="1"/>
  <c r="BH22" i="2"/>
  <c r="BL21" i="2"/>
  <c r="AX23" i="2"/>
  <c r="BK22" i="2"/>
  <c r="BM22" i="2" s="1"/>
  <c r="X25" i="2"/>
  <c r="AX24" i="2"/>
  <c r="BN21" i="2" l="1"/>
  <c r="BO21" i="2" s="1"/>
  <c r="BJ22" i="2"/>
  <c r="AY22" i="2"/>
  <c r="BA22" i="2" s="1"/>
  <c r="BB22" i="2" s="1"/>
  <c r="AZ23" i="2"/>
  <c r="BG23" i="2" s="1"/>
  <c r="BH23" i="2"/>
  <c r="BL23" i="2" s="1"/>
  <c r="AP25" i="2"/>
  <c r="AO26" i="2"/>
  <c r="AV24" i="2"/>
  <c r="BK24" i="2"/>
  <c r="BM24" i="2" s="1"/>
  <c r="M25" i="2"/>
  <c r="AX25" i="2" s="1"/>
  <c r="BK23" i="2"/>
  <c r="BM23" i="2" s="1"/>
  <c r="X26" i="2"/>
  <c r="BL22" i="2"/>
  <c r="BJ23" i="2" l="1"/>
  <c r="AY23" i="2"/>
  <c r="BA23" i="2" s="1"/>
  <c r="BB23" i="2" s="1"/>
  <c r="AV25" i="2"/>
  <c r="AO27" i="2"/>
  <c r="AP26" i="2"/>
  <c r="BH24" i="2"/>
  <c r="BL24" i="2" s="1"/>
  <c r="AZ24" i="2"/>
  <c r="BG24" i="2" s="1"/>
  <c r="BN22" i="2"/>
  <c r="BO22" i="2" s="1"/>
  <c r="X27" i="2"/>
  <c r="BK25" i="2"/>
  <c r="BM25" i="2" s="1"/>
  <c r="M26" i="2"/>
  <c r="BN23" i="2"/>
  <c r="BO23" i="2" s="1"/>
  <c r="M27" i="2" l="1"/>
  <c r="AX27" i="2" s="1"/>
  <c r="AX26" i="2"/>
  <c r="X28" i="2"/>
  <c r="BJ24" i="2"/>
  <c r="AY24" i="2"/>
  <c r="BA24" i="2" s="1"/>
  <c r="BB24" i="2" s="1"/>
  <c r="BN24" i="2"/>
  <c r="BO24" i="2" s="1"/>
  <c r="AV26" i="2"/>
  <c r="AO28" i="2"/>
  <c r="AP27" i="2"/>
  <c r="AZ25" i="2"/>
  <c r="BG25" i="2" s="1"/>
  <c r="BH25" i="2"/>
  <c r="BL25" i="2" s="1"/>
  <c r="BN25" i="2" l="1"/>
  <c r="BO25" i="2" s="1"/>
  <c r="BJ25" i="2"/>
  <c r="AY25" i="2"/>
  <c r="BA25" i="2" s="1"/>
  <c r="BB25" i="2" s="1"/>
  <c r="AV27" i="2"/>
  <c r="AO29" i="2"/>
  <c r="AP28" i="2"/>
  <c r="BH26" i="2"/>
  <c r="AZ26" i="2"/>
  <c r="X29" i="2"/>
  <c r="BK26" i="2"/>
  <c r="BM26" i="2" s="1"/>
  <c r="BG26" i="2"/>
  <c r="BJ26" i="2" s="1"/>
  <c r="M28" i="2"/>
  <c r="AX28" i="2" s="1"/>
  <c r="BL26" i="2" l="1"/>
  <c r="X30" i="2"/>
  <c r="AV28" i="2"/>
  <c r="AP29" i="2"/>
  <c r="AO30" i="2"/>
  <c r="AZ27" i="2"/>
  <c r="BG27" i="2" s="1"/>
  <c r="BH27" i="2"/>
  <c r="BK27" i="2"/>
  <c r="BM27" i="2" s="1"/>
  <c r="M29" i="2"/>
  <c r="BK28" i="2"/>
  <c r="BM28" i="2" s="1"/>
  <c r="AY26" i="2"/>
  <c r="BA26" i="2" s="1"/>
  <c r="BB26" i="2" s="1"/>
  <c r="BJ27" i="2" l="1"/>
  <c r="AY27" i="2"/>
  <c r="BA27" i="2" s="1"/>
  <c r="BB27" i="2" s="1"/>
  <c r="AP30" i="2"/>
  <c r="AO31" i="2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AO62" i="2" s="1"/>
  <c r="AO63" i="2" s="1"/>
  <c r="AO64" i="2" s="1"/>
  <c r="AO65" i="2" s="1"/>
  <c r="AO66" i="2" s="1"/>
  <c r="AO67" i="2" s="1"/>
  <c r="AO68" i="2" s="1"/>
  <c r="AO69" i="2" s="1"/>
  <c r="AO70" i="2" s="1"/>
  <c r="AO71" i="2" s="1"/>
  <c r="BH28" i="2"/>
  <c r="BL28" i="2" s="1"/>
  <c r="AZ28" i="2"/>
  <c r="BG28" i="2" s="1"/>
  <c r="M30" i="2"/>
  <c r="BL27" i="2"/>
  <c r="AX30" i="2"/>
  <c r="X31" i="2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AX29" i="2"/>
  <c r="AV29" i="2"/>
  <c r="BO26" i="2"/>
  <c r="BN26" i="2"/>
  <c r="BN27" i="2" l="1"/>
  <c r="BO27" i="2"/>
  <c r="M31" i="2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BK29" i="2"/>
  <c r="BM29" i="2" s="1"/>
  <c r="BH29" i="2"/>
  <c r="BL29" i="2" s="1"/>
  <c r="AZ29" i="2"/>
  <c r="BG29" i="2" s="1"/>
  <c r="BJ28" i="2"/>
  <c r="AY28" i="2"/>
  <c r="BA28" i="2" s="1"/>
  <c r="BB28" i="2" s="1"/>
  <c r="BN28" i="2"/>
  <c r="BO28" i="2"/>
  <c r="AV30" i="2"/>
  <c r="BJ29" i="2" l="1"/>
  <c r="AY29" i="2"/>
  <c r="BA29" i="2" s="1"/>
  <c r="BB29" i="2" s="1"/>
  <c r="BN29" i="2"/>
  <c r="BO29" i="2" s="1"/>
  <c r="BH30" i="2"/>
  <c r="AZ30" i="2"/>
  <c r="BG30" i="2"/>
  <c r="BJ30" i="2" s="1"/>
  <c r="BK30" i="2"/>
  <c r="BM30" i="2" s="1"/>
  <c r="AY30" i="2"/>
  <c r="BA30" i="2" s="1"/>
  <c r="BB30" i="2" s="1"/>
  <c r="BL30" i="2" l="1"/>
  <c r="BN30" i="2" l="1"/>
  <c r="BO30" i="2"/>
</calcChain>
</file>

<file path=xl/sharedStrings.xml><?xml version="1.0" encoding="utf-8"?>
<sst xmlns="http://schemas.openxmlformats.org/spreadsheetml/2006/main" count="110" uniqueCount="83">
  <si>
    <t>X - axis</t>
  </si>
  <si>
    <t>Oil (bbl)</t>
  </si>
  <si>
    <r>
      <t>GAS(M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</si>
  <si>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Water(bbl)</t>
  </si>
  <si>
    <t>PRESSURE</t>
  </si>
  <si>
    <t>Bg =(0.02827 *zT) / P</t>
  </si>
  <si>
    <r>
      <t>Bo=0.9759 + 0.000120 (Rs*(Yg/Yo)</t>
    </r>
    <r>
      <rPr>
        <vertAlign val="superscript"/>
        <sz val="11"/>
        <color theme="0"/>
        <rFont val="Calibri"/>
        <family val="2"/>
        <scheme val="minor"/>
      </rPr>
      <t>0.5</t>
    </r>
    <r>
      <rPr>
        <sz val="11"/>
        <color theme="0"/>
        <rFont val="Calibri"/>
        <family val="2"/>
        <scheme val="minor"/>
      </rPr>
      <t xml:space="preserve"> + 1.25(T-460))</t>
    </r>
    <r>
      <rPr>
        <vertAlign val="superscript"/>
        <sz val="11"/>
        <color theme="0"/>
        <rFont val="Calibri"/>
        <family val="2"/>
        <scheme val="minor"/>
      </rPr>
      <t>1.2</t>
    </r>
  </si>
  <si>
    <t>Rp = Gp / Np</t>
  </si>
  <si>
    <t xml:space="preserve">Np(Bo+(Rp - Rs)Bg) -(We - Wp*Bw) </t>
  </si>
  <si>
    <t>N=Np(Bo+(Rp - Rs)Bg) -  (We - Wp*Bw) / { [(Bo - Boi) + (Rsi - Rs)Bg] + [Bo * (Pi - P) * [ ((Swi * Cw) + Cf) ]/ (1 - Swi)] }</t>
  </si>
  <si>
    <t>Y - axis</t>
  </si>
  <si>
    <t>(P/18.2) + 1.4</t>
  </si>
  <si>
    <r>
      <t>10</t>
    </r>
    <r>
      <rPr>
        <vertAlign val="superscript"/>
        <sz val="11"/>
        <color theme="1"/>
        <rFont val="Calibri"/>
        <family val="2"/>
        <scheme val="minor"/>
      </rPr>
      <t>X</t>
    </r>
  </si>
  <si>
    <r>
      <t>Y=(((p/18.2) + 1.4 )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1.2048</t>
    </r>
  </si>
  <si>
    <t>We=Np[Bo+(Rp-Rs)Bg] + Wp*Bw - N { [(Bo-Boi)+(Rsi-Rs)Bg] + [Boi*(Pi-P)* ( (Swc*Cw +Cf) / (1-Swc) )] }</t>
  </si>
  <si>
    <t>DRIVE INDEX</t>
  </si>
  <si>
    <t>Date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</si>
  <si>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</si>
  <si>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</si>
  <si>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</si>
  <si>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</si>
  <si>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</si>
  <si>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</si>
  <si>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</si>
  <si>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</si>
  <si>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</si>
  <si>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Total</t>
  </si>
  <si>
    <t>Np</t>
  </si>
  <si>
    <t>TOTEL</t>
  </si>
  <si>
    <t>Gp</t>
  </si>
  <si>
    <t>Wp</t>
  </si>
  <si>
    <t>X</t>
  </si>
  <si>
    <t>y = -0.0742x + 2217.1</t>
  </si>
  <si>
    <t xml:space="preserve"> { [(Bo - Boi) + (Rsi - Rs)Bg] + [Bo * (Pi - P) * [ ((Swi * Cw) + Cf) ]/ (1 - Swi)] }</t>
  </si>
  <si>
    <t>N (in MM)</t>
  </si>
  <si>
    <t xml:space="preserve"> Eo = [(Bo - Boi) + (Rsi - Rs)Bg]</t>
  </si>
  <si>
    <t>Efw = [Bo * (Pi - P) * [ ((Swi * Cw) + Cf) ]/ (1 - Swi)]</t>
  </si>
  <si>
    <t xml:space="preserve">Ew = (We - Wp*Bw) </t>
  </si>
  <si>
    <t xml:space="preserve">F = Np(Bo+(Rp - Rs)Bg) </t>
  </si>
  <si>
    <t>DDI</t>
  </si>
  <si>
    <t>EDI</t>
  </si>
  <si>
    <t>WDI</t>
  </si>
  <si>
    <t>API    =</t>
  </si>
  <si>
    <t xml:space="preserve">Temp(T)   = </t>
  </si>
  <si>
    <t>x=0.0125*API - ( 0.00091* (T - 460) ) =</t>
  </si>
  <si>
    <t xml:space="preserve">    Yg   =</t>
  </si>
  <si>
    <t xml:space="preserve"> </t>
  </si>
  <si>
    <t xml:space="preserve">    Yo  =</t>
  </si>
  <si>
    <t xml:space="preserve">   Z      =</t>
  </si>
  <si>
    <t>API=(141.5/Yo) - 131.5</t>
  </si>
  <si>
    <t>Pi         =</t>
  </si>
  <si>
    <t>Pb        =</t>
  </si>
  <si>
    <t>Cw       =</t>
  </si>
  <si>
    <t>Cf         =</t>
  </si>
  <si>
    <t>AVG So  =</t>
  </si>
  <si>
    <t>Sw = 1-So</t>
  </si>
  <si>
    <t>Weak water drive = 0.05 * (Np*Bo - Wp*Bw)</t>
  </si>
  <si>
    <t>Pressure Data</t>
  </si>
  <si>
    <t>Differential Liberation( Well_A-1)</t>
  </si>
  <si>
    <t>Other Parameters</t>
  </si>
  <si>
    <t>SBHP (PSI)</t>
  </si>
  <si>
    <t>Well</t>
  </si>
  <si>
    <t>Bubble point Press @ Res Press &amp; Temp (KSC)</t>
  </si>
  <si>
    <t>Avg. Depth, m</t>
  </si>
  <si>
    <t>ft</t>
  </si>
  <si>
    <t>Initial</t>
  </si>
  <si>
    <r>
      <t>Reservoir Temp (</t>
    </r>
    <r>
      <rPr>
        <sz val="11"/>
        <color theme="1"/>
        <rFont val="Calibri"/>
        <family val="2"/>
      </rPr>
      <t>°C)</t>
    </r>
  </si>
  <si>
    <t>Area, km2</t>
  </si>
  <si>
    <t>acres</t>
  </si>
  <si>
    <t>FVF @ Pb (v/v)</t>
  </si>
  <si>
    <t>Avg thickness, m</t>
  </si>
  <si>
    <t>FVF @ Res Press (v/v)</t>
  </si>
  <si>
    <t>Eff. Porosity, %</t>
  </si>
  <si>
    <t>Rs @ Pb (v/v)</t>
  </si>
  <si>
    <t>Avg Oil Saturation, %</t>
  </si>
  <si>
    <t>°API</t>
  </si>
  <si>
    <t>Oil Density (gm/cc)</t>
  </si>
  <si>
    <t>days</t>
  </si>
  <si>
    <t>pressure</t>
  </si>
  <si>
    <t>Gas gravity</t>
  </si>
  <si>
    <t>Oil Viscosity @ Pb &amp; Res Temp (Cp)</t>
  </si>
  <si>
    <r>
      <t>N=7758 A H (P.V) 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B</t>
    </r>
    <r>
      <rPr>
        <vertAlign val="subscript"/>
        <sz val="11"/>
        <color theme="1"/>
        <rFont val="Calibri"/>
        <family val="2"/>
        <scheme val="minor"/>
      </rPr>
      <t>0</t>
    </r>
  </si>
  <si>
    <t>Rs=Y * 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</si>
</sst>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531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1" fillId="10" borderId="3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7" fontId="0" fillId="14" borderId="4" xfId="0" applyNumberFormat="1" applyFill="1" applyBorder="1" applyAlignment="1">
      <alignment horizontal="center" vertical="center"/>
    </xf>
    <xf numFmtId="1" fontId="0" fillId="0" borderId="0" xfId="0" applyNumberFormat="1"/>
    <xf numFmtId="1" fontId="0" fillId="15" borderId="0" xfId="0" applyNumberFormat="1" applyFill="1"/>
    <xf numFmtId="1" fontId="5" fillId="0" borderId="5" xfId="0" applyNumberFormat="1" applyFont="1" applyBorder="1" applyAlignment="1">
      <alignment horizontal="center" vertical="center" wrapText="1"/>
    </xf>
    <xf numFmtId="1" fontId="0" fillId="16" borderId="0" xfId="0" applyNumberFormat="1" applyFill="1"/>
    <xf numFmtId="1" fontId="0" fillId="0" borderId="4" xfId="0" applyNumberFormat="1" applyBorder="1" applyAlignment="1">
      <alignment horizontal="center" vertical="center"/>
    </xf>
    <xf numFmtId="1" fontId="0" fillId="17" borderId="0" xfId="0" applyNumberFormat="1" applyFill="1"/>
    <xf numFmtId="0" fontId="0" fillId="19" borderId="0" xfId="0" applyFill="1"/>
    <xf numFmtId="0" fontId="2" fillId="20" borderId="0" xfId="0" applyFont="1" applyFill="1" applyAlignment="1">
      <alignment horizontal="center" vertical="center"/>
    </xf>
    <xf numFmtId="0" fontId="0" fillId="21" borderId="0" xfId="0" applyFill="1"/>
    <xf numFmtId="2" fontId="0" fillId="0" borderId="0" xfId="0" applyNumberFormat="1"/>
    <xf numFmtId="0" fontId="0" fillId="22" borderId="0" xfId="0" applyFill="1"/>
    <xf numFmtId="0" fontId="0" fillId="23" borderId="0" xfId="0" applyFill="1"/>
    <xf numFmtId="0" fontId="0" fillId="24" borderId="0" xfId="0" applyFill="1"/>
    <xf numFmtId="17" fontId="0" fillId="14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17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6" fillId="0" borderId="6" xfId="0" applyFont="1" applyBorder="1" applyAlignment="1">
      <alignment vertic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N(OOIP)</a:t>
            </a:r>
            <a:r>
              <a:rPr lang="en-US" baseline="0"/>
              <a:t> V/S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 (OOIP)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43770</c:v>
                </c:pt>
                <c:pt idx="2">
                  <c:v>43800</c:v>
                </c:pt>
                <c:pt idx="3">
                  <c:v>43831</c:v>
                </c:pt>
                <c:pt idx="4">
                  <c:v>43862</c:v>
                </c:pt>
                <c:pt idx="5">
                  <c:v>43891</c:v>
                </c:pt>
                <c:pt idx="6">
                  <c:v>43922</c:v>
                </c:pt>
                <c:pt idx="7">
                  <c:v>43952</c:v>
                </c:pt>
                <c:pt idx="8">
                  <c:v>43983</c:v>
                </c:pt>
                <c:pt idx="9">
                  <c:v>44013</c:v>
                </c:pt>
                <c:pt idx="10">
                  <c:v>44044</c:v>
                </c:pt>
                <c:pt idx="11">
                  <c:v>44075</c:v>
                </c:pt>
                <c:pt idx="12">
                  <c:v>44105</c:v>
                </c:pt>
                <c:pt idx="13">
                  <c:v>44136</c:v>
                </c:pt>
                <c:pt idx="14">
                  <c:v>44166</c:v>
                </c:pt>
                <c:pt idx="15">
                  <c:v>44197</c:v>
                </c:pt>
                <c:pt idx="16">
                  <c:v>44228</c:v>
                </c:pt>
                <c:pt idx="17">
                  <c:v>44256</c:v>
                </c:pt>
                <c:pt idx="18">
                  <c:v>44287</c:v>
                </c:pt>
                <c:pt idx="19">
                  <c:v>44317</c:v>
                </c:pt>
                <c:pt idx="20">
                  <c:v>44348</c:v>
                </c:pt>
                <c:pt idx="21">
                  <c:v>44378</c:v>
                </c:pt>
                <c:pt idx="22">
                  <c:v>44409</c:v>
                </c:pt>
                <c:pt idx="23">
                  <c:v>44440</c:v>
                </c:pt>
                <c:pt idx="24">
                  <c:v>44470</c:v>
                </c:pt>
                <c:pt idx="25">
                  <c:v>44501</c:v>
                </c:pt>
                <c:pt idx="26">
                  <c:v>44531</c:v>
                </c:pt>
                <c:pt idx="27">
                  <c:v>44562</c:v>
                </c:pt>
                <c:pt idx="28">
                  <c:v>44593</c:v>
                </c:pt>
              </c:strCache>
            </c:strRef>
          </c:xVal>
          <c:yVal>
            <c:numRef>
              <c:f>[1]Sheet1!$BB$2:$BB$30</c:f>
              <c:numCache>
                <c:formatCode>General</c:formatCode>
                <c:ptCount val="29"/>
                <c:pt idx="0">
                  <c:v>0</c:v>
                </c:pt>
                <c:pt idx="1">
                  <c:v>35.000000000000007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35.000000000000007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34.999999999999979</c:v>
                </c:pt>
                <c:pt idx="13">
                  <c:v>34.999999999999979</c:v>
                </c:pt>
                <c:pt idx="14">
                  <c:v>35</c:v>
                </c:pt>
                <c:pt idx="15">
                  <c:v>35.000000000000007</c:v>
                </c:pt>
                <c:pt idx="16">
                  <c:v>35.000000000000007</c:v>
                </c:pt>
                <c:pt idx="17">
                  <c:v>35</c:v>
                </c:pt>
                <c:pt idx="18">
                  <c:v>34.999999999999993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35.000000000000014</c:v>
                </c:pt>
                <c:pt idx="24">
                  <c:v>34.999999999999979</c:v>
                </c:pt>
                <c:pt idx="25">
                  <c:v>34.999999999999993</c:v>
                </c:pt>
                <c:pt idx="26">
                  <c:v>34.999999999999979</c:v>
                </c:pt>
                <c:pt idx="27">
                  <c:v>34.999999999999979</c:v>
                </c:pt>
                <c:pt idx="28">
                  <c:v>34.999999999999986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1-4149-B5BC-18B75EFD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97360"/>
        <c:axId val="303098320"/>
      </c:scatterChart>
      <c:valAx>
        <c:axId val="3030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8320"/>
        <c:crosses val="autoZero"/>
        <c:crossBetween val="midCat"/>
      </c:valAx>
      <c:valAx>
        <c:axId val="30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N(OOIP)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We(BBL)</a:t>
            </a:r>
            <a:r>
              <a:rPr lang="en-US" baseline="0"/>
              <a:t> V/S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5943616416424E-2"/>
          <c:y val="0.11709375088606871"/>
          <c:w val="0.90180594180067897"/>
          <c:h val="0.834073114524562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[1]Sheet1!$BG$1</c:f>
              <c:strCache>
                <c:ptCount val="1"/>
                <c:pt idx="0">
                  <c:v>We=Np[Bo+(Rp-Rs)Bg] + Wp*Bw - N { [(Bo-Boi)+(Rsi-Rs)Bg] + [Boi*(Pi-P)* ( (Swc*Cw +Cf) / (1-Swc) )] }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43770</c:v>
                </c:pt>
                <c:pt idx="2">
                  <c:v>43800</c:v>
                </c:pt>
                <c:pt idx="3">
                  <c:v>43831</c:v>
                </c:pt>
                <c:pt idx="4">
                  <c:v>43862</c:v>
                </c:pt>
                <c:pt idx="5">
                  <c:v>43891</c:v>
                </c:pt>
                <c:pt idx="6">
                  <c:v>43922</c:v>
                </c:pt>
                <c:pt idx="7">
                  <c:v>43952</c:v>
                </c:pt>
                <c:pt idx="8">
                  <c:v>43983</c:v>
                </c:pt>
                <c:pt idx="9">
                  <c:v>44013</c:v>
                </c:pt>
                <c:pt idx="10">
                  <c:v>44044</c:v>
                </c:pt>
                <c:pt idx="11">
                  <c:v>44075</c:v>
                </c:pt>
                <c:pt idx="12">
                  <c:v>44105</c:v>
                </c:pt>
                <c:pt idx="13">
                  <c:v>44136</c:v>
                </c:pt>
                <c:pt idx="14">
                  <c:v>44166</c:v>
                </c:pt>
                <c:pt idx="15">
                  <c:v>44197</c:v>
                </c:pt>
                <c:pt idx="16">
                  <c:v>44228</c:v>
                </c:pt>
                <c:pt idx="17">
                  <c:v>44256</c:v>
                </c:pt>
                <c:pt idx="18">
                  <c:v>44287</c:v>
                </c:pt>
                <c:pt idx="19">
                  <c:v>44317</c:v>
                </c:pt>
                <c:pt idx="20">
                  <c:v>44348</c:v>
                </c:pt>
                <c:pt idx="21">
                  <c:v>44378</c:v>
                </c:pt>
                <c:pt idx="22">
                  <c:v>44409</c:v>
                </c:pt>
                <c:pt idx="23">
                  <c:v>44440</c:v>
                </c:pt>
                <c:pt idx="24">
                  <c:v>44470</c:v>
                </c:pt>
                <c:pt idx="25">
                  <c:v>44501</c:v>
                </c:pt>
                <c:pt idx="26">
                  <c:v>44531</c:v>
                </c:pt>
                <c:pt idx="27">
                  <c:v>44562</c:v>
                </c:pt>
                <c:pt idx="28">
                  <c:v>44593</c:v>
                </c:pt>
              </c:strCache>
            </c:strRef>
          </c:xVal>
          <c:yVal>
            <c:numRef>
              <c:f>[1]Sheet1!$BG$2:$BG$30</c:f>
              <c:numCache>
                <c:formatCode>General</c:formatCode>
                <c:ptCount val="29"/>
                <c:pt idx="1">
                  <c:v>-556861.85247367108</c:v>
                </c:pt>
                <c:pt idx="2">
                  <c:v>-546237.44556380971</c:v>
                </c:pt>
                <c:pt idx="3">
                  <c:v>-567050.95087593782</c:v>
                </c:pt>
                <c:pt idx="4">
                  <c:v>-467678.01176446956</c:v>
                </c:pt>
                <c:pt idx="5">
                  <c:v>-216098.57757634926</c:v>
                </c:pt>
                <c:pt idx="6">
                  <c:v>25999.595043690759</c:v>
                </c:pt>
                <c:pt idx="7">
                  <c:v>287086.43462822924</c:v>
                </c:pt>
                <c:pt idx="8">
                  <c:v>556837.12080875027</c:v>
                </c:pt>
                <c:pt idx="9">
                  <c:v>818438.72248891473</c:v>
                </c:pt>
                <c:pt idx="10">
                  <c:v>1100892.4853490896</c:v>
                </c:pt>
                <c:pt idx="11">
                  <c:v>1387038.6350088886</c:v>
                </c:pt>
                <c:pt idx="12">
                  <c:v>1705856.3409001771</c:v>
                </c:pt>
                <c:pt idx="13">
                  <c:v>2038623.099099013</c:v>
                </c:pt>
                <c:pt idx="14">
                  <c:v>2257796.6927008396</c:v>
                </c:pt>
                <c:pt idx="15">
                  <c:v>2476258.9991370058</c:v>
                </c:pt>
                <c:pt idx="16">
                  <c:v>2671931.0358181968</c:v>
                </c:pt>
                <c:pt idx="17">
                  <c:v>2829377.9347047745</c:v>
                </c:pt>
                <c:pt idx="18">
                  <c:v>2931851.2539684661</c:v>
                </c:pt>
                <c:pt idx="19">
                  <c:v>3086459.449123783</c:v>
                </c:pt>
                <c:pt idx="20">
                  <c:v>3253078.3300079838</c:v>
                </c:pt>
                <c:pt idx="21">
                  <c:v>3430243.9081056211</c:v>
                </c:pt>
                <c:pt idx="22">
                  <c:v>3608246.8470880869</c:v>
                </c:pt>
                <c:pt idx="23">
                  <c:v>3783506.6822309047</c:v>
                </c:pt>
                <c:pt idx="24">
                  <c:v>3996790.8269868437</c:v>
                </c:pt>
                <c:pt idx="25">
                  <c:v>4163255.9501572596</c:v>
                </c:pt>
                <c:pt idx="26">
                  <c:v>4331486.3327789325</c:v>
                </c:pt>
                <c:pt idx="27">
                  <c:v>4500710.2132334681</c:v>
                </c:pt>
                <c:pt idx="28">
                  <c:v>4657089.9803172471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1-4EA4-BC5F-584F1B0C0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482336"/>
        <c:axId val="771479936"/>
      </c:scatterChart>
      <c:valAx>
        <c:axId val="77148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79936"/>
        <c:crosses val="autoZero"/>
        <c:crossBetween val="midCat"/>
      </c:valAx>
      <c:valAx>
        <c:axId val="771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We(BBL)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8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DRIVE INDEX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DDI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[1]Sheet1!$BL$16:$BL$30</c:f>
              <c:numCache>
                <c:formatCode>General</c:formatCode>
                <c:ptCount val="15"/>
                <c:pt idx="0">
                  <c:v>0.77139680165094393</c:v>
                </c:pt>
                <c:pt idx="1">
                  <c:v>0.71771680905486424</c:v>
                </c:pt>
                <c:pt idx="2">
                  <c:v>0.6731739198076917</c:v>
                </c:pt>
                <c:pt idx="3">
                  <c:v>0.64180234515273726</c:v>
                </c:pt>
                <c:pt idx="4">
                  <c:v>0.62213548479570924</c:v>
                </c:pt>
                <c:pt idx="5">
                  <c:v>0.59408723110255468</c:v>
                </c:pt>
                <c:pt idx="6">
                  <c:v>0.56698869040123279</c:v>
                </c:pt>
                <c:pt idx="7">
                  <c:v>0.54124462373764193</c:v>
                </c:pt>
                <c:pt idx="8">
                  <c:v>0.51742669927475149</c:v>
                </c:pt>
                <c:pt idx="9">
                  <c:v>0.49620949202006498</c:v>
                </c:pt>
                <c:pt idx="10">
                  <c:v>0.47400863930711606</c:v>
                </c:pt>
                <c:pt idx="11">
                  <c:v>0.45925188705854997</c:v>
                </c:pt>
                <c:pt idx="12">
                  <c:v>0.44530429100656665</c:v>
                </c:pt>
                <c:pt idx="13">
                  <c:v>0.43237364394072453</c:v>
                </c:pt>
                <c:pt idx="14">
                  <c:v>0.42199330655176798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9-4955-862A-48CFAB0AE84D}"/>
            </c:ext>
          </c:extLst>
        </c:ser>
        <c:ser>
          <c:idx val="2"/>
          <c:order val="2"/>
          <c:tx>
            <c:v>WDI</c:v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[1]Sheet1!$BN$16:$BN$30</c:f>
              <c:numCache>
                <c:formatCode>General</c:formatCode>
                <c:ptCount val="15"/>
                <c:pt idx="0">
                  <c:v>1.5596517356260942E-2</c:v>
                </c:pt>
                <c:pt idx="1">
                  <c:v>8.4099227695190043E-2</c:v>
                </c:pt>
                <c:pt idx="2">
                  <c:v>0.14094179588848188</c:v>
                </c:pt>
                <c:pt idx="3">
                  <c:v>0.18097603932877218</c:v>
                </c:pt>
                <c:pt idx="4">
                  <c:v>0.20607353232678816</c:v>
                </c:pt>
                <c:pt idx="5">
                  <c:v>0.24186678238761783</c:v>
                </c:pt>
                <c:pt idx="6">
                  <c:v>0.27644807412210859</c:v>
                </c:pt>
                <c:pt idx="7">
                  <c:v>0.30930087935388201</c:v>
                </c:pt>
                <c:pt idx="8">
                  <c:v>0.3396956745363805</c:v>
                </c:pt>
                <c:pt idx="9">
                  <c:v>0.36677161349384896</c:v>
                </c:pt>
                <c:pt idx="10">
                  <c:v>0.39510281305484585</c:v>
                </c:pt>
                <c:pt idx="11">
                  <c:v>0.41393436417731544</c:v>
                </c:pt>
                <c:pt idx="12">
                  <c:v>0.43173332587730612</c:v>
                </c:pt>
                <c:pt idx="13">
                  <c:v>0.4482345273046513</c:v>
                </c:pt>
                <c:pt idx="14">
                  <c:v>0.46148119912755264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10007616"/>
        <c:axId val="410008096"/>
      </c:areaChart>
      <c:lineChart>
        <c:grouping val="standard"/>
        <c:varyColors val="0"/>
        <c:ser>
          <c:idx val="1"/>
          <c:order val="1"/>
          <c:tx>
            <c:v>EDI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[1]Sheet1!$BM$16:$BM$30</c:f>
              <c:numCache>
                <c:formatCode>General</c:formatCode>
                <c:ptCount val="15"/>
                <c:pt idx="0">
                  <c:v>0.21300668099279513</c:v>
                </c:pt>
                <c:pt idx="1">
                  <c:v>0.19818396324994572</c:v>
                </c:pt>
                <c:pt idx="2">
                  <c:v>0.18588428430382642</c:v>
                </c:pt>
                <c:pt idx="3">
                  <c:v>0.17722161551849056</c:v>
                </c:pt>
                <c:pt idx="4">
                  <c:v>0.17179098287750261</c:v>
                </c:pt>
                <c:pt idx="5">
                  <c:v>0.16404598650982749</c:v>
                </c:pt>
                <c:pt idx="6">
                  <c:v>0.15656323547665865</c:v>
                </c:pt>
                <c:pt idx="7">
                  <c:v>0.14945449690847606</c:v>
                </c:pt>
                <c:pt idx="8">
                  <c:v>0.14287762618886801</c:v>
                </c:pt>
                <c:pt idx="9">
                  <c:v>0.13701889448608601</c:v>
                </c:pt>
                <c:pt idx="10">
                  <c:v>0.13088854763803806</c:v>
                </c:pt>
                <c:pt idx="11">
                  <c:v>0.12681374876413457</c:v>
                </c:pt>
                <c:pt idx="12">
                  <c:v>0.12296238311612721</c:v>
                </c:pt>
                <c:pt idx="13">
                  <c:v>0.11939182875462419</c:v>
                </c:pt>
                <c:pt idx="14">
                  <c:v>0.11652549432067931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07616"/>
        <c:axId val="410008096"/>
      </c:lineChart>
      <c:catAx>
        <c:axId val="41000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8096"/>
        <c:crosses val="autoZero"/>
        <c:auto val="1"/>
        <c:lblAlgn val="ctr"/>
        <c:lblOffset val="100"/>
        <c:noMultiLvlLbl val="0"/>
      </c:catAx>
      <c:valAx>
        <c:axId val="410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1556650</xdr:colOff>
      <xdr:row>46</xdr:row>
      <xdr:rowOff>140199</xdr:rowOff>
    </xdr:from>
    <xdr:to>
      <xdr:col>66</xdr:col>
      <xdr:colOff>277380</xdr:colOff>
      <xdr:row>67</xdr:row>
      <xdr:rowOff>98287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255FE-9065-4AB7-AB99-492717697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325932</xdr:colOff>
      <xdr:row>46</xdr:row>
      <xdr:rowOff>38100</xdr:rowOff>
    </xdr:from>
    <xdr:to>
      <xdr:col>86</xdr:col>
      <xdr:colOff>135433</xdr:colOff>
      <xdr:row>83</xdr:row>
      <xdr:rowOff>183710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79D51-8D58-492C-9156-0D3B70525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520700</xdr:colOff>
      <xdr:row>1</xdr:row>
      <xdr:rowOff>123687</xdr:rowOff>
    </xdr:from>
    <xdr:to>
      <xdr:col>86</xdr:col>
      <xdr:colOff>276087</xdr:colOff>
      <xdr:row>40</xdr:row>
      <xdr:rowOff>32026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18AC3A-438A-4F61-A165-645784006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WhatsAppDesktop_cv1g1gvanyjgm/LocalState/sessions/E64B108B962FA74288DE4793F6EDB056848F79C9/transfers/2026-10/Production_Data_Training%20(decline%20curve%20analysis).xlsx" TargetMode="External"/><Relationship Id="rId2" Type="http://schemas.openxmlformats.org/officeDocument/2006/relationships/externalLinkPath" Target="file:///C:\Users\NEHARIKA\AppData\Local\Packages\5319275A.WhatsAppDesktop_cv1g1gvanyjgm\LocalState\sessions\E64B108B962FA74288DE4793F6EDB056848F79C9\transfers\2026-10\Production_Data_Training%20(decline%20curve%20analysis).xlsx" TargetMode="External"/><Relationship Id="rId1" Type="http://schemas.openxmlformats.org/officeDocument/2006/relationships/externalLinkPath" Target="/Users/NEHARIKA/AppData/Local/Packages/5319275A.WhatsAppDesktop_cv1g1gvanyjgm/LocalState/sessions/E64B108B962FA74288DE4793F6EDB056848F79C9/transfers/2026-10/Production_Data_Training%20(decline%20curve%20analys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ructure-A_Prod_Data"/>
      <sheetName val="PVT_Press"/>
      <sheetName val="Well_A-1"/>
      <sheetName val="Well_A-2"/>
      <sheetName val="Well_A-3"/>
      <sheetName val="Well_A-5"/>
      <sheetName val="Well_A-7"/>
      <sheetName val="Well_A-8"/>
      <sheetName val="Well_A-9"/>
      <sheetName val="Sheet1"/>
      <sheetName val="Sheet2"/>
    </sheetNames>
    <sheetDataSet>
      <sheetData sheetId="0"/>
      <sheetData sheetId="1">
        <row r="4">
          <cell r="B4">
            <v>43770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X - axis</v>
          </cell>
          <cell r="BG1" t="str">
            <v>We=Np[Bo+(Rp-Rs)Bg] + Wp*Bw - N { [(Bo-Boi)+(Rsi-Rs)Bg] + [Boi*(Pi-P)* ( (Swc*Cw +Cf) / (1-Swc) )] }</v>
          </cell>
        </row>
        <row r="2">
          <cell r="B2" t="str">
            <v>Date</v>
          </cell>
          <cell r="BB2" t="str">
            <v>N (in MM)</v>
          </cell>
        </row>
        <row r="3">
          <cell r="B3">
            <v>43770</v>
          </cell>
          <cell r="BB3">
            <v>35.000000000000007</v>
          </cell>
          <cell r="BG3">
            <v>-556861.85247367108</v>
          </cell>
        </row>
        <row r="4">
          <cell r="B4">
            <v>43800</v>
          </cell>
          <cell r="BB4">
            <v>35</v>
          </cell>
          <cell r="BG4">
            <v>-546237.44556380971</v>
          </cell>
        </row>
        <row r="5">
          <cell r="B5">
            <v>43831</v>
          </cell>
          <cell r="BB5">
            <v>35</v>
          </cell>
          <cell r="BG5">
            <v>-567050.95087593782</v>
          </cell>
        </row>
        <row r="6">
          <cell r="B6">
            <v>43862</v>
          </cell>
          <cell r="BB6">
            <v>35</v>
          </cell>
          <cell r="BG6">
            <v>-467678.01176446956</v>
          </cell>
        </row>
        <row r="7">
          <cell r="B7">
            <v>43891</v>
          </cell>
          <cell r="BB7">
            <v>35</v>
          </cell>
          <cell r="BG7">
            <v>-216098.57757634926</v>
          </cell>
        </row>
        <row r="8">
          <cell r="B8">
            <v>43922</v>
          </cell>
          <cell r="BB8">
            <v>35</v>
          </cell>
          <cell r="BG8">
            <v>25999.595043690759</v>
          </cell>
        </row>
        <row r="9">
          <cell r="B9">
            <v>43952</v>
          </cell>
          <cell r="BB9">
            <v>35</v>
          </cell>
          <cell r="BG9">
            <v>287086.43462822924</v>
          </cell>
        </row>
        <row r="10">
          <cell r="B10">
            <v>43983</v>
          </cell>
          <cell r="BB10">
            <v>35.000000000000007</v>
          </cell>
          <cell r="BG10">
            <v>556837.12080875027</v>
          </cell>
        </row>
        <row r="11">
          <cell r="B11">
            <v>44013</v>
          </cell>
          <cell r="BB11">
            <v>35</v>
          </cell>
          <cell r="BG11">
            <v>818438.72248891473</v>
          </cell>
        </row>
        <row r="12">
          <cell r="B12">
            <v>44044</v>
          </cell>
          <cell r="BB12">
            <v>35</v>
          </cell>
          <cell r="BG12">
            <v>1100892.4853490896</v>
          </cell>
        </row>
        <row r="13">
          <cell r="B13">
            <v>44075</v>
          </cell>
          <cell r="BB13">
            <v>35</v>
          </cell>
          <cell r="BG13">
            <v>1387038.6350088886</v>
          </cell>
        </row>
        <row r="14">
          <cell r="B14">
            <v>44105</v>
          </cell>
          <cell r="BB14">
            <v>34.999999999999979</v>
          </cell>
          <cell r="BG14">
            <v>1705856.3409001771</v>
          </cell>
        </row>
        <row r="15">
          <cell r="B15">
            <v>44136</v>
          </cell>
          <cell r="BB15">
            <v>34.999999999999979</v>
          </cell>
          <cell r="BG15">
            <v>2038623.099099013</v>
          </cell>
        </row>
        <row r="16">
          <cell r="B16">
            <v>44166</v>
          </cell>
          <cell r="BB16">
            <v>35</v>
          </cell>
          <cell r="BG16">
            <v>2257796.6927008396</v>
          </cell>
          <cell r="BL16">
            <v>0.77139680165094393</v>
          </cell>
          <cell r="BM16">
            <v>0.21300668099279513</v>
          </cell>
          <cell r="BN16">
            <v>1.5596517356260942E-2</v>
          </cell>
        </row>
        <row r="17">
          <cell r="B17">
            <v>44197</v>
          </cell>
          <cell r="BB17">
            <v>35.000000000000007</v>
          </cell>
          <cell r="BG17">
            <v>2476258.9991370058</v>
          </cell>
          <cell r="BL17">
            <v>0.71771680905486424</v>
          </cell>
          <cell r="BM17">
            <v>0.19818396324994572</v>
          </cell>
          <cell r="BN17">
            <v>8.4099227695190043E-2</v>
          </cell>
        </row>
        <row r="18">
          <cell r="B18">
            <v>44228</v>
          </cell>
          <cell r="BB18">
            <v>35.000000000000007</v>
          </cell>
          <cell r="BG18">
            <v>2671931.0358181968</v>
          </cell>
          <cell r="BL18">
            <v>0.6731739198076917</v>
          </cell>
          <cell r="BM18">
            <v>0.18588428430382642</v>
          </cell>
          <cell r="BN18">
            <v>0.14094179588848188</v>
          </cell>
        </row>
        <row r="19">
          <cell r="B19">
            <v>44256</v>
          </cell>
          <cell r="BB19">
            <v>35</v>
          </cell>
          <cell r="BG19">
            <v>2829377.9347047745</v>
          </cell>
          <cell r="BL19">
            <v>0.64180234515273726</v>
          </cell>
          <cell r="BM19">
            <v>0.17722161551849056</v>
          </cell>
          <cell r="BN19">
            <v>0.18097603932877218</v>
          </cell>
        </row>
        <row r="20">
          <cell r="B20">
            <v>44287</v>
          </cell>
          <cell r="BB20">
            <v>34.999999999999993</v>
          </cell>
          <cell r="BG20">
            <v>2931851.2539684661</v>
          </cell>
          <cell r="BL20">
            <v>0.62213548479570924</v>
          </cell>
          <cell r="BM20">
            <v>0.17179098287750261</v>
          </cell>
          <cell r="BN20">
            <v>0.20607353232678816</v>
          </cell>
        </row>
        <row r="21">
          <cell r="B21">
            <v>44317</v>
          </cell>
          <cell r="BB21">
            <v>35</v>
          </cell>
          <cell r="BG21">
            <v>3086459.449123783</v>
          </cell>
          <cell r="BL21">
            <v>0.59408723110255468</v>
          </cell>
          <cell r="BM21">
            <v>0.16404598650982749</v>
          </cell>
          <cell r="BN21">
            <v>0.24186678238761783</v>
          </cell>
        </row>
        <row r="22">
          <cell r="B22">
            <v>44348</v>
          </cell>
          <cell r="BB22">
            <v>35</v>
          </cell>
          <cell r="BG22">
            <v>3253078.3300079838</v>
          </cell>
          <cell r="BL22">
            <v>0.56698869040123279</v>
          </cell>
          <cell r="BM22">
            <v>0.15656323547665865</v>
          </cell>
          <cell r="BN22">
            <v>0.27644807412210859</v>
          </cell>
        </row>
        <row r="23">
          <cell r="B23">
            <v>44378</v>
          </cell>
          <cell r="BB23">
            <v>35</v>
          </cell>
          <cell r="BG23">
            <v>3430243.9081056211</v>
          </cell>
          <cell r="BL23">
            <v>0.54124462373764193</v>
          </cell>
          <cell r="BM23">
            <v>0.14945449690847606</v>
          </cell>
          <cell r="BN23">
            <v>0.30930087935388201</v>
          </cell>
        </row>
        <row r="24">
          <cell r="B24">
            <v>44409</v>
          </cell>
          <cell r="BB24">
            <v>35</v>
          </cell>
          <cell r="BG24">
            <v>3608246.8470880869</v>
          </cell>
          <cell r="BL24">
            <v>0.51742669927475149</v>
          </cell>
          <cell r="BM24">
            <v>0.14287762618886801</v>
          </cell>
          <cell r="BN24">
            <v>0.3396956745363805</v>
          </cell>
        </row>
        <row r="25">
          <cell r="B25">
            <v>44440</v>
          </cell>
          <cell r="BB25">
            <v>35.000000000000014</v>
          </cell>
          <cell r="BG25">
            <v>3783506.6822309047</v>
          </cell>
          <cell r="BL25">
            <v>0.49620949202006498</v>
          </cell>
          <cell r="BM25">
            <v>0.13701889448608601</v>
          </cell>
          <cell r="BN25">
            <v>0.36677161349384896</v>
          </cell>
        </row>
        <row r="26">
          <cell r="B26">
            <v>44470</v>
          </cell>
          <cell r="BB26">
            <v>34.999999999999979</v>
          </cell>
          <cell r="BG26">
            <v>3996790.8269868437</v>
          </cell>
          <cell r="BL26">
            <v>0.47400863930711606</v>
          </cell>
          <cell r="BM26">
            <v>0.13088854763803806</v>
          </cell>
          <cell r="BN26">
            <v>0.39510281305484585</v>
          </cell>
        </row>
        <row r="27">
          <cell r="B27">
            <v>44501</v>
          </cell>
          <cell r="BB27">
            <v>34.999999999999993</v>
          </cell>
          <cell r="BG27">
            <v>4163255.9501572596</v>
          </cell>
          <cell r="BL27">
            <v>0.45925188705854997</v>
          </cell>
          <cell r="BM27">
            <v>0.12681374876413457</v>
          </cell>
          <cell r="BN27">
            <v>0.41393436417731544</v>
          </cell>
        </row>
        <row r="28">
          <cell r="B28">
            <v>44531</v>
          </cell>
          <cell r="BB28">
            <v>34.999999999999979</v>
          </cell>
          <cell r="BG28">
            <v>4331486.3327789325</v>
          </cell>
          <cell r="BL28">
            <v>0.44530429100656665</v>
          </cell>
          <cell r="BM28">
            <v>0.12296238311612721</v>
          </cell>
          <cell r="BN28">
            <v>0.43173332587730612</v>
          </cell>
        </row>
        <row r="29">
          <cell r="B29">
            <v>44562</v>
          </cell>
          <cell r="BB29">
            <v>34.999999999999979</v>
          </cell>
          <cell r="BG29">
            <v>4500710.2132334681</v>
          </cell>
          <cell r="BL29">
            <v>0.43237364394072453</v>
          </cell>
          <cell r="BM29">
            <v>0.11939182875462419</v>
          </cell>
          <cell r="BN29">
            <v>0.4482345273046513</v>
          </cell>
        </row>
        <row r="30">
          <cell r="B30">
            <v>44593</v>
          </cell>
          <cell r="BB30">
            <v>34.999999999999986</v>
          </cell>
          <cell r="BG30">
            <v>4657089.9803172471</v>
          </cell>
          <cell r="BL30">
            <v>0.42199330655176798</v>
          </cell>
          <cell r="BM30">
            <v>0.11652549432067931</v>
          </cell>
          <cell r="BN30">
            <v>0.46148119912755264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6EF1-64BC-4C2B-AD36-2E7E8EBA69DC}">
  <dimension ref="A1:L17"/>
  <sheetViews>
    <sheetView topLeftCell="E10" zoomScale="110" zoomScaleNormal="120" workbookViewId="0">
      <selection activeCell="F16" sqref="F16"/>
    </sheetView>
  </sheetViews>
  <sheetFormatPr defaultRowHeight="14.4" x14ac:dyDescent="0.3"/>
  <cols>
    <col min="6" max="6" width="39.109375" bestFit="1" customWidth="1"/>
    <col min="7" max="7" width="12.88671875" bestFit="1" customWidth="1"/>
    <col min="8" max="8" width="11.5546875" bestFit="1" customWidth="1"/>
    <col min="9" max="9" width="21.21875" customWidth="1"/>
  </cols>
  <sheetData>
    <row r="1" spans="1:12" x14ac:dyDescent="0.3">
      <c r="B1" s="34" t="s">
        <v>57</v>
      </c>
      <c r="C1" s="34"/>
      <c r="D1" s="34"/>
      <c r="F1" s="35" t="s">
        <v>58</v>
      </c>
      <c r="G1" s="35"/>
      <c r="I1" s="34" t="s">
        <v>59</v>
      </c>
      <c r="J1" s="34"/>
    </row>
    <row r="2" spans="1:12" x14ac:dyDescent="0.3">
      <c r="B2" s="29" t="s">
        <v>16</v>
      </c>
      <c r="C2" s="29" t="s">
        <v>60</v>
      </c>
      <c r="D2" s="29" t="s">
        <v>61</v>
      </c>
      <c r="F2" s="27" t="s">
        <v>62</v>
      </c>
      <c r="G2" s="27">
        <v>46.88</v>
      </c>
      <c r="H2">
        <f>14.22334 * G2</f>
        <v>666.79017920000001</v>
      </c>
      <c r="I2" s="29" t="s">
        <v>63</v>
      </c>
      <c r="J2" s="29">
        <v>1550</v>
      </c>
      <c r="K2">
        <f>3.287*J2</f>
        <v>5094.8499999999995</v>
      </c>
      <c r="L2" t="s">
        <v>64</v>
      </c>
    </row>
    <row r="3" spans="1:12" x14ac:dyDescent="0.3">
      <c r="A3" s="36" t="s">
        <v>65</v>
      </c>
      <c r="B3" s="28">
        <v>43770</v>
      </c>
      <c r="C3" s="29">
        <v>2236</v>
      </c>
      <c r="D3" s="29" t="s">
        <v>17</v>
      </c>
      <c r="F3" s="27" t="s">
        <v>66</v>
      </c>
      <c r="G3" s="27">
        <v>96.8</v>
      </c>
      <c r="H3">
        <f>(G3 *(9/5)) + 32 +460</f>
        <v>666.24</v>
      </c>
      <c r="I3" s="29" t="s">
        <v>67</v>
      </c>
      <c r="J3" s="29">
        <v>10.3</v>
      </c>
      <c r="K3">
        <f>247.105*J3</f>
        <v>2545.1815000000001</v>
      </c>
      <c r="L3" t="s">
        <v>68</v>
      </c>
    </row>
    <row r="4" spans="1:12" x14ac:dyDescent="0.3">
      <c r="A4" s="36"/>
      <c r="B4" s="28">
        <v>43770</v>
      </c>
      <c r="C4" s="29">
        <v>2217</v>
      </c>
      <c r="D4" s="29" t="s">
        <v>23</v>
      </c>
      <c r="F4" s="27" t="s">
        <v>69</v>
      </c>
      <c r="G4" s="27">
        <v>1.1839999999999999</v>
      </c>
      <c r="I4" s="29" t="s">
        <v>70</v>
      </c>
      <c r="J4" s="29">
        <v>7.62</v>
      </c>
      <c r="K4">
        <f>3.281*J4</f>
        <v>25.00122</v>
      </c>
      <c r="L4" t="s">
        <v>64</v>
      </c>
    </row>
    <row r="5" spans="1:12" x14ac:dyDescent="0.3">
      <c r="B5" s="28">
        <v>44593</v>
      </c>
      <c r="C5" s="29">
        <v>2156</v>
      </c>
      <c r="D5" s="29" t="s">
        <v>24</v>
      </c>
      <c r="F5" s="27" t="s">
        <v>71</v>
      </c>
      <c r="G5" s="30">
        <v>1.1599999999999999</v>
      </c>
      <c r="I5" s="29" t="s">
        <v>72</v>
      </c>
      <c r="J5" s="29">
        <v>12.6</v>
      </c>
      <c r="K5">
        <f>0.126</f>
        <v>0.126</v>
      </c>
    </row>
    <row r="6" spans="1:12" x14ac:dyDescent="0.3">
      <c r="B6" s="28">
        <v>44593</v>
      </c>
      <c r="C6" s="29">
        <v>2188</v>
      </c>
      <c r="D6" s="29" t="s">
        <v>25</v>
      </c>
      <c r="F6" s="27" t="s">
        <v>73</v>
      </c>
      <c r="G6" s="27">
        <v>41</v>
      </c>
      <c r="I6" s="29" t="s">
        <v>74</v>
      </c>
      <c r="J6" s="29">
        <v>44</v>
      </c>
      <c r="K6">
        <f>0.44</f>
        <v>0.44</v>
      </c>
    </row>
    <row r="7" spans="1:12" x14ac:dyDescent="0.3">
      <c r="F7" s="31" t="s">
        <v>75</v>
      </c>
      <c r="G7" s="27">
        <v>33.9</v>
      </c>
    </row>
    <row r="8" spans="1:12" x14ac:dyDescent="0.3">
      <c r="B8" t="s">
        <v>31</v>
      </c>
      <c r="F8" s="31" t="s">
        <v>76</v>
      </c>
      <c r="G8" s="27">
        <v>0.85470000000000002</v>
      </c>
    </row>
    <row r="9" spans="1:12" x14ac:dyDescent="0.3">
      <c r="B9" s="32" t="s">
        <v>77</v>
      </c>
      <c r="C9" t="s">
        <v>78</v>
      </c>
      <c r="F9" s="31" t="s">
        <v>79</v>
      </c>
      <c r="G9" s="27">
        <v>1.5047999999999999</v>
      </c>
    </row>
    <row r="10" spans="1:12" x14ac:dyDescent="0.3">
      <c r="B10" s="33">
        <v>1</v>
      </c>
      <c r="C10">
        <v>2217</v>
      </c>
      <c r="F10" s="31" t="s">
        <v>80</v>
      </c>
      <c r="G10" s="27">
        <v>0.89</v>
      </c>
    </row>
    <row r="11" spans="1:12" x14ac:dyDescent="0.3">
      <c r="B11">
        <v>10</v>
      </c>
    </row>
    <row r="12" spans="1:12" x14ac:dyDescent="0.3">
      <c r="B12">
        <v>50</v>
      </c>
    </row>
    <row r="13" spans="1:12" ht="15.6" x14ac:dyDescent="0.35">
      <c r="B13">
        <v>100</v>
      </c>
      <c r="F13" s="2" t="s">
        <v>81</v>
      </c>
      <c r="G13" s="2">
        <f>(7758*K3*K4*K5*K6)/G5</f>
        <v>23593641.015844025</v>
      </c>
    </row>
    <row r="14" spans="1:12" x14ac:dyDescent="0.3">
      <c r="B14">
        <v>200</v>
      </c>
    </row>
    <row r="15" spans="1:12" x14ac:dyDescent="0.3">
      <c r="B15">
        <v>400</v>
      </c>
    </row>
    <row r="16" spans="1:12" x14ac:dyDescent="0.3">
      <c r="B16">
        <v>600</v>
      </c>
    </row>
    <row r="17" spans="2:3" x14ac:dyDescent="0.3">
      <c r="B17">
        <v>823</v>
      </c>
      <c r="C17">
        <v>2156</v>
      </c>
    </row>
  </sheetData>
  <mergeCells count="4">
    <mergeCell ref="B1:D1"/>
    <mergeCell ref="F1:G1"/>
    <mergeCell ref="I1:J1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8121-C5D6-4F6A-B846-E68C8A08A573}">
  <dimension ref="B1:BO72"/>
  <sheetViews>
    <sheetView tabSelected="1" zoomScale="12" zoomScaleNormal="33" workbookViewId="0">
      <selection activeCell="BG4" sqref="BG4"/>
    </sheetView>
  </sheetViews>
  <sheetFormatPr defaultRowHeight="14.4" x14ac:dyDescent="0.3"/>
  <cols>
    <col min="2" max="2" width="8.88671875" style="29"/>
    <col min="24" max="24" width="11" customWidth="1"/>
    <col min="38" max="38" width="12.33203125" customWidth="1"/>
    <col min="39" max="39" width="15.21875" customWidth="1"/>
    <col min="41" max="41" width="6.33203125" customWidth="1"/>
    <col min="43" max="43" width="13.109375" customWidth="1"/>
    <col min="48" max="48" width="18.77734375" customWidth="1"/>
    <col min="49" max="49" width="47.88671875" customWidth="1"/>
    <col min="50" max="50" width="16.5546875" customWidth="1"/>
    <col min="51" max="51" width="70.5546875" customWidth="1"/>
    <col min="52" max="52" width="62.5546875" customWidth="1"/>
    <col min="53" max="53" width="92.6640625" customWidth="1"/>
    <col min="54" max="54" width="18.21875" customWidth="1"/>
    <col min="55" max="55" width="14.33203125" customWidth="1"/>
    <col min="57" max="57" width="26.44140625" customWidth="1"/>
    <col min="58" max="58" width="13.21875" customWidth="1"/>
    <col min="59" max="59" width="112.109375" customWidth="1"/>
    <col min="60" max="60" width="28.44140625" customWidth="1"/>
    <col min="61" max="61" width="47.109375" customWidth="1"/>
    <col min="62" max="62" width="32.21875" customWidth="1"/>
    <col min="63" max="63" width="33.5546875" customWidth="1"/>
    <col min="64" max="64" width="26.109375" customWidth="1"/>
    <col min="65" max="65" width="23" customWidth="1"/>
    <col min="66" max="66" width="14.88671875" customWidth="1"/>
    <col min="67" max="67" width="12.33203125" customWidth="1"/>
  </cols>
  <sheetData>
    <row r="1" spans="2:67" ht="16.8" thickBot="1" x14ac:dyDescent="0.35">
      <c r="B1" s="1" t="s">
        <v>0</v>
      </c>
      <c r="C1" s="37" t="s">
        <v>1</v>
      </c>
      <c r="D1" s="38"/>
      <c r="E1" s="38"/>
      <c r="F1" s="38"/>
      <c r="G1" s="38"/>
      <c r="H1" s="38"/>
      <c r="I1" s="38"/>
      <c r="J1" s="38"/>
      <c r="K1" s="38"/>
      <c r="L1" s="38"/>
      <c r="N1" s="39" t="s">
        <v>2</v>
      </c>
      <c r="O1" s="39"/>
      <c r="P1" s="39"/>
      <c r="Q1" s="39"/>
      <c r="R1" s="39"/>
      <c r="S1" s="39"/>
      <c r="T1" s="39"/>
      <c r="U1" s="39"/>
      <c r="V1" s="39"/>
      <c r="W1" s="39"/>
      <c r="Y1" s="40" t="s">
        <v>3</v>
      </c>
      <c r="Z1" s="40"/>
      <c r="AA1" s="40"/>
      <c r="AB1" s="40"/>
      <c r="AC1" s="40"/>
      <c r="AD1" s="40"/>
      <c r="AE1" s="40"/>
      <c r="AF1" s="40"/>
      <c r="AG1" s="40"/>
      <c r="AH1" s="40"/>
      <c r="AK1" s="3"/>
      <c r="AL1" s="3"/>
      <c r="AM1" s="3"/>
      <c r="AP1" s="41" t="s">
        <v>4</v>
      </c>
      <c r="AQ1" s="41"/>
      <c r="AR1" s="42"/>
      <c r="AS1" s="42"/>
      <c r="AT1" s="42"/>
      <c r="AU1" s="42"/>
      <c r="AV1" s="47" t="s">
        <v>5</v>
      </c>
      <c r="AW1" s="46" t="s">
        <v>6</v>
      </c>
      <c r="AX1" s="44" t="s">
        <v>7</v>
      </c>
      <c r="AY1" s="42" t="s">
        <v>8</v>
      </c>
      <c r="AZ1" s="5"/>
      <c r="BA1" s="42" t="s">
        <v>9</v>
      </c>
      <c r="BB1" s="4" t="s">
        <v>10</v>
      </c>
      <c r="BC1" s="42" t="s">
        <v>11</v>
      </c>
      <c r="BD1" s="42" t="s">
        <v>12</v>
      </c>
      <c r="BE1" s="42" t="s">
        <v>13</v>
      </c>
      <c r="BF1" s="49" t="s">
        <v>82</v>
      </c>
      <c r="BG1" s="43" t="s">
        <v>14</v>
      </c>
      <c r="BL1" s="44" t="s">
        <v>15</v>
      </c>
      <c r="BM1" s="44"/>
      <c r="BN1" s="44"/>
      <c r="BO1" s="44"/>
    </row>
    <row r="2" spans="2:67" ht="15" thickBot="1" x14ac:dyDescent="0.35">
      <c r="B2" s="8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6" t="s">
        <v>27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28</v>
      </c>
      <c r="X2" s="9" t="s">
        <v>29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s="7" t="s">
        <v>30</v>
      </c>
      <c r="AK2" s="3"/>
      <c r="AL2" s="3"/>
      <c r="AM2" s="3"/>
      <c r="AO2" s="3" t="s">
        <v>31</v>
      </c>
      <c r="AP2" s="45" t="s">
        <v>32</v>
      </c>
      <c r="AQ2" s="45"/>
      <c r="AR2" s="42"/>
      <c r="AS2" s="42"/>
      <c r="AT2" s="42"/>
      <c r="AU2" s="42"/>
      <c r="AV2" s="47"/>
      <c r="AW2" s="46"/>
      <c r="AX2" s="44"/>
      <c r="AY2" s="42"/>
      <c r="AZ2" s="5" t="s">
        <v>33</v>
      </c>
      <c r="BA2" s="42"/>
      <c r="BB2" s="4" t="s">
        <v>34</v>
      </c>
      <c r="BC2" s="42"/>
      <c r="BD2" s="42"/>
      <c r="BE2" s="42"/>
      <c r="BF2" s="49"/>
      <c r="BG2" s="43"/>
      <c r="BH2" s="4" t="s">
        <v>35</v>
      </c>
      <c r="BI2" s="4" t="s">
        <v>36</v>
      </c>
      <c r="BJ2" s="4" t="s">
        <v>37</v>
      </c>
      <c r="BK2" s="4" t="s">
        <v>38</v>
      </c>
      <c r="BL2" s="7" t="s">
        <v>39</v>
      </c>
      <c r="BM2" s="6" t="s">
        <v>40</v>
      </c>
      <c r="BN2" s="10" t="s">
        <v>41</v>
      </c>
      <c r="BO2" s="4" t="s">
        <v>28</v>
      </c>
    </row>
    <row r="3" spans="2:67" ht="15" thickBot="1" x14ac:dyDescent="0.35">
      <c r="B3" s="11">
        <v>43770</v>
      </c>
      <c r="C3" s="12">
        <v>15468.504999999999</v>
      </c>
      <c r="L3" s="12">
        <f>SUM(C3:K3)</f>
        <v>15468.504999999999</v>
      </c>
      <c r="M3" s="13">
        <f>L3</f>
        <v>15468.504999999999</v>
      </c>
      <c r="N3" s="14">
        <v>72832</v>
      </c>
      <c r="W3" s="12">
        <f>SUM(N3:V3)</f>
        <v>72832</v>
      </c>
      <c r="X3" s="15">
        <f>W3</f>
        <v>72832</v>
      </c>
      <c r="Y3" s="16">
        <v>28.832443000000001</v>
      </c>
      <c r="AH3" s="12">
        <f>SUM(Y3:AG3)</f>
        <v>28.832443000000001</v>
      </c>
      <c r="AI3" s="17">
        <f>AH3</f>
        <v>28.832443000000001</v>
      </c>
      <c r="AO3">
        <v>1</v>
      </c>
      <c r="AP3" s="48">
        <f xml:space="preserve"> (-0.0742*AO3+ 2217.1)</f>
        <v>2217.0257999999999</v>
      </c>
      <c r="AQ3" s="48"/>
      <c r="AR3" s="42"/>
      <c r="AS3" s="42"/>
      <c r="AT3" s="42"/>
      <c r="AU3" s="42"/>
      <c r="AV3" s="18">
        <f>(0.02827 * AL15 *AL6) / AP3</f>
        <v>7.9007571603361589E-3</v>
      </c>
      <c r="AW3" s="19">
        <f>0.9759+(0.00012*(BF3*((1.5048/0.8547)^0.5)+1.25*(666.24-460))^1.2)</f>
        <v>1.2171031898746698</v>
      </c>
      <c r="AX3" s="20">
        <f>(X3*35.3147) / M3</f>
        <v>166.27594136602085</v>
      </c>
      <c r="AY3" s="21">
        <f>(M3*(AW3+(AX3-BF3)*AV3)-(BG3-(AI3*1)))</f>
        <v>567669.46454267832</v>
      </c>
      <c r="AZ3">
        <f>(((AW3-1.16)+($BF$3-BF3))*AV3)+(AW3*($AL$19-$AL$20)*((($AL$27*$AL$22)+$AL$23))/0.56)</f>
        <v>1.6219127558362235E-2</v>
      </c>
      <c r="BA3">
        <f>AY3/AZ3</f>
        <v>35000000.000000007</v>
      </c>
      <c r="BB3">
        <f>BA3/10^6</f>
        <v>35.000000000000007</v>
      </c>
      <c r="BC3">
        <f>(($AL$20/18.2) + 1.4)</f>
        <v>38.036813186813184</v>
      </c>
      <c r="BD3">
        <f>10^$AN$8</f>
        <v>1.7221524744100771</v>
      </c>
      <c r="BE3">
        <f>(BC3 * BD3)^1.2048</f>
        <v>154.25846013908642</v>
      </c>
      <c r="BF3" s="20">
        <f>BE3 * $AL$11</f>
        <v>232.12813081729723</v>
      </c>
      <c r="BG3" s="22">
        <f>M3*(AW3+(AX3 -BF3)*AV3) + AI3*1 -( 35*10^6 *(AZ3) )</f>
        <v>-556861.85247367108</v>
      </c>
      <c r="BH3">
        <f>(AW3-1.16)+($BF$3-BF3)*AV3</f>
        <v>5.7103189874669891E-2</v>
      </c>
      <c r="BI3">
        <f xml:space="preserve"> (AW3*($AL$19-$AL$20)*((($AL$27*$AL$22)+$AL$23))/0.56)</f>
        <v>1.57679691220819E-2</v>
      </c>
      <c r="BJ3">
        <f xml:space="preserve"> (BG3-(AI3*1))</f>
        <v>-556890.68491667113</v>
      </c>
      <c r="BK3">
        <f xml:space="preserve"> M3*(AW3+(AX3-BF3)*AV3)</f>
        <v>10778.779626007148</v>
      </c>
      <c r="BL3" s="22">
        <f xml:space="preserve"> (35*10^6*BH3) /BK3</f>
        <v>185.42095811952365</v>
      </c>
      <c r="BM3" s="23">
        <f xml:space="preserve"> (35*10^6*BI3) / BK3</f>
        <v>51.200501208994702</v>
      </c>
      <c r="BN3" s="24">
        <f xml:space="preserve"> 1- BL3 -BM3</f>
        <v>-235.62145932851834</v>
      </c>
      <c r="BO3">
        <f xml:space="preserve"> BL3+BM3+BN3</f>
        <v>1</v>
      </c>
    </row>
    <row r="4" spans="2:67" x14ac:dyDescent="0.3">
      <c r="B4" s="25">
        <v>43800</v>
      </c>
      <c r="C4" s="12">
        <v>24186.651999999998</v>
      </c>
      <c r="I4" s="12">
        <v>16757.349999999999</v>
      </c>
      <c r="L4" s="12">
        <f>SUM(C4:K4)</f>
        <v>40944.001999999993</v>
      </c>
      <c r="M4" s="13">
        <f>M3+L4</f>
        <v>56412.506999999991</v>
      </c>
      <c r="N4" s="16">
        <v>98918</v>
      </c>
      <c r="T4" s="16">
        <v>28477</v>
      </c>
      <c r="W4" s="12">
        <f t="shared" ref="W4:W67" si="0">SUM(N4:V4)</f>
        <v>127395</v>
      </c>
      <c r="X4" s="15">
        <f t="shared" ref="X4:X67" si="1">X3+W4</f>
        <v>200227</v>
      </c>
      <c r="Y4" s="26">
        <v>42.820957999999997</v>
      </c>
      <c r="AE4" s="16">
        <v>296.59551800000003</v>
      </c>
      <c r="AH4" s="12">
        <f t="shared" ref="AH4:AH67" si="2">SUM(Y4:AG4)</f>
        <v>339.41647600000005</v>
      </c>
      <c r="AI4" s="17">
        <f>AI3+AH4</f>
        <v>368.24891900000006</v>
      </c>
      <c r="AK4" s="3" t="s">
        <v>42</v>
      </c>
      <c r="AL4" s="3">
        <v>33.9</v>
      </c>
      <c r="AO4">
        <f>AO3+1</f>
        <v>2</v>
      </c>
      <c r="AP4" s="48">
        <f t="shared" ref="AP4:AP30" si="3" xml:space="preserve"> (-0.0742*AO4+ 2217.1)</f>
        <v>2216.9515999999999</v>
      </c>
      <c r="AQ4" s="48"/>
      <c r="AR4" s="42"/>
      <c r="AS4" s="42"/>
      <c r="AT4" s="42"/>
      <c r="AU4" s="42"/>
      <c r="AV4" s="18">
        <f>(0.02827 * 0.93 *666.24) / AP4</f>
        <v>7.9010215937957325E-3</v>
      </c>
      <c r="AW4" s="19">
        <f t="shared" ref="AW4:AW30" si="4" xml:space="preserve"> 0.9759 + 0.00012*(BF4* (1.5048/0.8547)^0.5 + 1.25*(666.24 - 460))^1.2</f>
        <v>1.2171031898746698</v>
      </c>
      <c r="AX4" s="20">
        <f>(X4*35.3147) / M4</f>
        <v>125.34377238189398</v>
      </c>
      <c r="AY4" s="21">
        <f t="shared" ref="AY4:AY30" si="5">(M4*(AW4+(AX4-BF4)*AV4)-(BG4-(AI4*1)))</f>
        <v>567669.99304246996</v>
      </c>
      <c r="AZ4">
        <f t="shared" ref="AZ4:AZ30" si="6">(((AW4-1.16)+($BF$3-BF4))*AV4)+(AW4*($AL$19-$AL$20)*((($AL$27*$AL$22)+$AL$23))/0.56)</f>
        <v>1.6219142658356285E-2</v>
      </c>
      <c r="BA4">
        <f t="shared" ref="BA4:BA30" si="7">AY4/AZ4</f>
        <v>35000000</v>
      </c>
      <c r="BB4">
        <f t="shared" ref="BB4:BB30" si="8">BA4/10^6</f>
        <v>35</v>
      </c>
      <c r="BC4">
        <f t="shared" ref="BC4:BC30" si="9">(($AL$20/18.2) + 1.4)</f>
        <v>38.036813186813184</v>
      </c>
      <c r="BD4">
        <f t="shared" ref="BD4:BD30" si="10">10^$AN$8</f>
        <v>1.7221524744100771</v>
      </c>
      <c r="BE4">
        <f t="shared" ref="BE4:BE30" si="11">(BC4 * BD4)^1.2048</f>
        <v>154.25846013908642</v>
      </c>
      <c r="BF4" s="20">
        <f t="shared" ref="BF4:BF30" si="12">BE4 * $AL$11</f>
        <v>232.12813081729723</v>
      </c>
      <c r="BG4" s="22">
        <f t="shared" ref="BG4:BG30" si="13">M4*(AW4+(AX4 -BF4)*AV4) + AI4*1 -( 35*10^6 *(AZ4) )</f>
        <v>-546237.44556380971</v>
      </c>
      <c r="BH4">
        <f t="shared" ref="BH4:BH30" si="14">(AW4-1.16)+($BF$3-BF4)*AV4</f>
        <v>5.7103189874669891E-2</v>
      </c>
      <c r="BI4">
        <f t="shared" ref="BI4:BI30" si="15" xml:space="preserve"> (AW4*($AL$19-$AL$20)*((($AL$27*$AL$22)+$AL$23))/0.56)</f>
        <v>1.57679691220819E-2</v>
      </c>
      <c r="BJ4">
        <f t="shared" ref="BJ4:BJ30" si="16" xml:space="preserve"> (BG4-(AI4*1))</f>
        <v>-546605.69448280975</v>
      </c>
      <c r="BK4">
        <f t="shared" ref="BK4:BK30" si="17" xml:space="preserve"> M4*(AW4+(AX4-BF4)*AV4)</f>
        <v>21064.298559660223</v>
      </c>
      <c r="BL4" s="22">
        <f t="shared" ref="BL4:BL30" si="18" xml:space="preserve"> (35*10^6*BH4) /BK4</f>
        <v>94.881471602427041</v>
      </c>
      <c r="BM4" s="23">
        <f t="shared" ref="BM4:BM30" si="19" xml:space="preserve"> (35*10^6*BI4) / BK4</f>
        <v>26.199729258004236</v>
      </c>
      <c r="BN4" s="24">
        <f t="shared" ref="BN4:BN30" si="20" xml:space="preserve"> 1- BL4 -BM4</f>
        <v>-120.08120086043128</v>
      </c>
      <c r="BO4">
        <f t="shared" ref="BO4:BO30" si="21" xml:space="preserve"> BL4+BM4+BN4</f>
        <v>1</v>
      </c>
    </row>
    <row r="5" spans="2:67" x14ac:dyDescent="0.3">
      <c r="B5" s="25">
        <v>43831</v>
      </c>
      <c r="C5" s="12">
        <v>34158.847000000002</v>
      </c>
      <c r="I5" s="12">
        <v>34708.120000000003</v>
      </c>
      <c r="L5" s="12">
        <f t="shared" ref="L5:L67" si="22">SUM(C5:K5)</f>
        <v>68866.967000000004</v>
      </c>
      <c r="M5" s="13">
        <f>M4+L5</f>
        <v>125279.47399999999</v>
      </c>
      <c r="N5" s="26">
        <v>46372</v>
      </c>
      <c r="T5" s="26">
        <v>30011</v>
      </c>
      <c r="W5" s="12">
        <f t="shared" si="0"/>
        <v>76383</v>
      </c>
      <c r="X5" s="15">
        <f t="shared" si="1"/>
        <v>276610</v>
      </c>
      <c r="Y5" s="26">
        <v>181.901017</v>
      </c>
      <c r="AE5" s="26">
        <v>184.88866899999999</v>
      </c>
      <c r="AH5" s="12">
        <f t="shared" si="2"/>
        <v>366.78968599999996</v>
      </c>
      <c r="AI5" s="17">
        <f t="shared" ref="AI5:AI68" si="23">AI4+AH5</f>
        <v>735.03860499999996</v>
      </c>
      <c r="AO5">
        <f t="shared" ref="AO5:AO68" si="24">AO4+1</f>
        <v>3</v>
      </c>
      <c r="AP5" s="48">
        <f t="shared" si="3"/>
        <v>2216.8773999999999</v>
      </c>
      <c r="AQ5" s="48"/>
      <c r="AR5" s="42"/>
      <c r="AS5" s="42"/>
      <c r="AT5" s="42"/>
      <c r="AU5" s="42"/>
      <c r="AV5" s="18">
        <f t="shared" ref="AV5:AV30" si="25">(0.02827 * 0.93 *666.24) / AP5</f>
        <v>7.9012860449567488E-3</v>
      </c>
      <c r="AW5" s="19">
        <f t="shared" si="4"/>
        <v>1.2171031898746698</v>
      </c>
      <c r="AX5" s="20">
        <f t="shared" ref="AX5:AX30" si="26">(X5*35.3147) / M5</f>
        <v>77.972862234399244</v>
      </c>
      <c r="AY5" s="21">
        <f t="shared" si="5"/>
        <v>567670.52157764009</v>
      </c>
      <c r="AZ5">
        <f t="shared" si="6"/>
        <v>1.6219157759361145E-2</v>
      </c>
      <c r="BA5">
        <f t="shared" si="7"/>
        <v>35000000</v>
      </c>
      <c r="BB5">
        <f t="shared" si="8"/>
        <v>35</v>
      </c>
      <c r="BC5">
        <f t="shared" si="9"/>
        <v>38.036813186813184</v>
      </c>
      <c r="BD5">
        <f t="shared" si="10"/>
        <v>1.7221524744100771</v>
      </c>
      <c r="BE5">
        <f t="shared" si="11"/>
        <v>154.25846013908642</v>
      </c>
      <c r="BF5" s="20">
        <f t="shared" si="12"/>
        <v>232.12813081729723</v>
      </c>
      <c r="BG5" s="22">
        <f t="shared" si="13"/>
        <v>-567050.95087593782</v>
      </c>
      <c r="BH5">
        <f t="shared" si="14"/>
        <v>5.7103189874669891E-2</v>
      </c>
      <c r="BI5">
        <f t="shared" si="15"/>
        <v>1.57679691220819E-2</v>
      </c>
      <c r="BJ5">
        <f t="shared" si="16"/>
        <v>-567785.98948093783</v>
      </c>
      <c r="BK5">
        <f t="shared" si="17"/>
        <v>-115.46790329773629</v>
      </c>
      <c r="BL5" s="22">
        <f t="shared" si="18"/>
        <v>-17308.806937110359</v>
      </c>
      <c r="BM5" s="23">
        <f t="shared" si="19"/>
        <v>-4779.5006535265102</v>
      </c>
      <c r="BN5" s="24">
        <f t="shared" si="20"/>
        <v>22089.307590636869</v>
      </c>
      <c r="BO5">
        <f t="shared" si="21"/>
        <v>1</v>
      </c>
    </row>
    <row r="6" spans="2:67" x14ac:dyDescent="0.3">
      <c r="B6" s="25">
        <v>43862</v>
      </c>
      <c r="C6" s="12">
        <v>32855.891000000003</v>
      </c>
      <c r="D6" s="16">
        <v>6964.4120000000003</v>
      </c>
      <c r="G6" s="12">
        <v>17195.096000000001</v>
      </c>
      <c r="I6" s="12">
        <v>30075.115000000002</v>
      </c>
      <c r="L6" s="12">
        <f t="shared" si="22"/>
        <v>87090.51400000001</v>
      </c>
      <c r="M6" s="13">
        <f t="shared" ref="M6:M68" si="27">M5+L6</f>
        <v>212369.98800000001</v>
      </c>
      <c r="N6" s="26">
        <v>176199</v>
      </c>
      <c r="O6" s="12">
        <v>92232</v>
      </c>
      <c r="R6" s="16">
        <v>6196</v>
      </c>
      <c r="T6" s="26">
        <v>266654</v>
      </c>
      <c r="W6" s="12">
        <f t="shared" si="0"/>
        <v>541281</v>
      </c>
      <c r="X6" s="15">
        <f t="shared" si="1"/>
        <v>817891</v>
      </c>
      <c r="Y6" s="26">
        <v>395.75421699999998</v>
      </c>
      <c r="Z6" s="16">
        <v>1057.7745359999999</v>
      </c>
      <c r="AC6" s="16">
        <v>264.26594599999999</v>
      </c>
      <c r="AE6" s="26">
        <v>362.10378500000002</v>
      </c>
      <c r="AH6" s="12">
        <f t="shared" si="2"/>
        <v>2079.8984839999998</v>
      </c>
      <c r="AI6" s="17">
        <f t="shared" si="23"/>
        <v>2814.937089</v>
      </c>
      <c r="AK6" t="s">
        <v>43</v>
      </c>
      <c r="AL6">
        <f>666.24</f>
        <v>666.24</v>
      </c>
      <c r="AO6">
        <f t="shared" si="24"/>
        <v>4</v>
      </c>
      <c r="AP6" s="48">
        <f t="shared" si="3"/>
        <v>2216.8031999999998</v>
      </c>
      <c r="AQ6" s="48"/>
      <c r="AR6" s="42"/>
      <c r="AS6" s="42"/>
      <c r="AT6" s="42"/>
      <c r="AU6" s="42"/>
      <c r="AV6" s="18">
        <f t="shared" si="25"/>
        <v>7.9015505138209843E-3</v>
      </c>
      <c r="AW6" s="19">
        <f t="shared" si="4"/>
        <v>1.2171031898746698</v>
      </c>
      <c r="AX6" s="20">
        <f t="shared" si="26"/>
        <v>136.00591858440939</v>
      </c>
      <c r="AY6" s="21">
        <f t="shared" si="5"/>
        <v>567671.05014819198</v>
      </c>
      <c r="AZ6">
        <f t="shared" si="6"/>
        <v>1.6219172861376915E-2</v>
      </c>
      <c r="BA6">
        <f t="shared" si="7"/>
        <v>35000000</v>
      </c>
      <c r="BB6">
        <f t="shared" si="8"/>
        <v>35</v>
      </c>
      <c r="BC6">
        <f t="shared" si="9"/>
        <v>38.036813186813184</v>
      </c>
      <c r="BD6">
        <f t="shared" si="10"/>
        <v>1.7221524744100771</v>
      </c>
      <c r="BE6">
        <f t="shared" si="11"/>
        <v>154.25846013908642</v>
      </c>
      <c r="BF6" s="20">
        <f t="shared" si="12"/>
        <v>232.12813081729723</v>
      </c>
      <c r="BG6" s="22">
        <f t="shared" si="13"/>
        <v>-467678.01176446956</v>
      </c>
      <c r="BH6">
        <f t="shared" si="14"/>
        <v>5.7103189874669891E-2</v>
      </c>
      <c r="BI6">
        <f t="shared" si="15"/>
        <v>1.57679691220819E-2</v>
      </c>
      <c r="BJ6">
        <f t="shared" si="16"/>
        <v>-470492.94885346957</v>
      </c>
      <c r="BK6">
        <f t="shared" si="17"/>
        <v>97178.101294722394</v>
      </c>
      <c r="BL6" s="22">
        <f t="shared" si="18"/>
        <v>20.566481738020826</v>
      </c>
      <c r="BM6" s="23">
        <f t="shared" si="19"/>
        <v>5.6790461217092973</v>
      </c>
      <c r="BN6" s="24">
        <f t="shared" si="20"/>
        <v>-25.245527859730124</v>
      </c>
      <c r="BO6">
        <f t="shared" si="21"/>
        <v>1</v>
      </c>
    </row>
    <row r="7" spans="2:67" x14ac:dyDescent="0.3">
      <c r="B7" s="25">
        <v>43891</v>
      </c>
      <c r="C7" s="12">
        <v>38101.913999999997</v>
      </c>
      <c r="D7" s="26">
        <v>31594.366000000002</v>
      </c>
      <c r="G7" s="12">
        <v>30314.215</v>
      </c>
      <c r="I7" s="12">
        <v>34843.927000000003</v>
      </c>
      <c r="L7" s="12">
        <f t="shared" si="22"/>
        <v>134854.42199999999</v>
      </c>
      <c r="M7" s="13">
        <f t="shared" si="27"/>
        <v>347224.41000000003</v>
      </c>
      <c r="N7" s="26">
        <v>288496</v>
      </c>
      <c r="O7" s="12">
        <v>500191</v>
      </c>
      <c r="R7" s="26">
        <v>12306</v>
      </c>
      <c r="T7" s="26">
        <v>376484</v>
      </c>
      <c r="W7" s="12">
        <f t="shared" si="0"/>
        <v>1177477</v>
      </c>
      <c r="X7" s="15">
        <f t="shared" si="1"/>
        <v>1995368</v>
      </c>
      <c r="Y7" s="26">
        <v>693.68317300000001</v>
      </c>
      <c r="Z7" s="26">
        <v>4352.761743</v>
      </c>
      <c r="AC7" s="26">
        <v>551.97397999999998</v>
      </c>
      <c r="AE7" s="26">
        <v>634.47728700000005</v>
      </c>
      <c r="AH7" s="12">
        <f t="shared" si="2"/>
        <v>6232.8961829999998</v>
      </c>
      <c r="AI7" s="17">
        <f t="shared" si="23"/>
        <v>9047.8332719999999</v>
      </c>
      <c r="AO7">
        <f t="shared" si="24"/>
        <v>5</v>
      </c>
      <c r="AP7" s="48">
        <f t="shared" si="3"/>
        <v>2216.7289999999998</v>
      </c>
      <c r="AQ7" s="48"/>
      <c r="AR7" s="42"/>
      <c r="AS7" s="42"/>
      <c r="AT7" s="42"/>
      <c r="AU7" s="42"/>
      <c r="AV7" s="18">
        <f t="shared" si="25"/>
        <v>7.9018150003902152E-3</v>
      </c>
      <c r="AW7" s="19">
        <f t="shared" si="4"/>
        <v>1.2171031898746698</v>
      </c>
      <c r="AX7" s="20">
        <f t="shared" si="26"/>
        <v>202.94028956547152</v>
      </c>
      <c r="AY7" s="21">
        <f t="shared" si="5"/>
        <v>567671.57875412947</v>
      </c>
      <c r="AZ7">
        <f t="shared" si="6"/>
        <v>1.6219187964403699E-2</v>
      </c>
      <c r="BA7">
        <f t="shared" si="7"/>
        <v>35000000</v>
      </c>
      <c r="BB7">
        <f t="shared" si="8"/>
        <v>35</v>
      </c>
      <c r="BC7">
        <f t="shared" si="9"/>
        <v>38.036813186813184</v>
      </c>
      <c r="BD7">
        <f t="shared" si="10"/>
        <v>1.7221524744100771</v>
      </c>
      <c r="BE7">
        <f t="shared" si="11"/>
        <v>154.25846013908642</v>
      </c>
      <c r="BF7" s="20">
        <f t="shared" si="12"/>
        <v>232.12813081729723</v>
      </c>
      <c r="BG7" s="22">
        <f t="shared" si="13"/>
        <v>-216098.57757634926</v>
      </c>
      <c r="BH7">
        <f t="shared" si="14"/>
        <v>5.7103189874669891E-2</v>
      </c>
      <c r="BI7">
        <f t="shared" si="15"/>
        <v>1.57679691220819E-2</v>
      </c>
      <c r="BJ7">
        <f t="shared" si="16"/>
        <v>-225146.41084834925</v>
      </c>
      <c r="BK7">
        <f t="shared" si="17"/>
        <v>342525.1679057802</v>
      </c>
      <c r="BL7" s="22">
        <f t="shared" si="18"/>
        <v>5.8349337008812512</v>
      </c>
      <c r="BM7" s="23">
        <f t="shared" si="19"/>
        <v>1.6112069155299971</v>
      </c>
      <c r="BN7" s="24">
        <f t="shared" si="20"/>
        <v>-6.446140616411248</v>
      </c>
      <c r="BO7">
        <f t="shared" si="21"/>
        <v>1</v>
      </c>
    </row>
    <row r="8" spans="2:67" x14ac:dyDescent="0.3">
      <c r="B8" s="25">
        <v>43922</v>
      </c>
      <c r="C8" s="12">
        <v>36734.659</v>
      </c>
      <c r="D8" s="26">
        <v>30460.629000000001</v>
      </c>
      <c r="G8" s="12">
        <v>29226.414000000001</v>
      </c>
      <c r="I8" s="12">
        <v>33593.584999999999</v>
      </c>
      <c r="L8" s="12">
        <f t="shared" si="22"/>
        <v>130015.28700000001</v>
      </c>
      <c r="M8" s="13">
        <f t="shared" si="27"/>
        <v>477239.69700000004</v>
      </c>
      <c r="N8" s="26">
        <v>277193</v>
      </c>
      <c r="O8" s="12">
        <v>480607</v>
      </c>
      <c r="R8" s="26">
        <v>11823</v>
      </c>
      <c r="T8" s="26">
        <v>361731</v>
      </c>
      <c r="W8" s="12">
        <f t="shared" si="0"/>
        <v>1131354</v>
      </c>
      <c r="X8" s="15">
        <f t="shared" si="1"/>
        <v>3126722</v>
      </c>
      <c r="Y8" s="26">
        <v>737.93820700000003</v>
      </c>
      <c r="Z8" s="26">
        <v>4630.5004419999996</v>
      </c>
      <c r="AC8" s="26">
        <v>587.19685900000002</v>
      </c>
      <c r="AE8" s="26">
        <v>674.95214999999996</v>
      </c>
      <c r="AH8" s="12">
        <f t="shared" si="2"/>
        <v>6630.5876579999995</v>
      </c>
      <c r="AI8" s="17">
        <f t="shared" si="23"/>
        <v>15678.42093</v>
      </c>
      <c r="AK8" s="42" t="s">
        <v>44</v>
      </c>
      <c r="AL8" s="42"/>
      <c r="AM8" s="42"/>
      <c r="AN8" s="42">
        <f>(0.0125*AL4)-((0.00091)*(AL6-460))</f>
        <v>0.23607160000000002</v>
      </c>
      <c r="AO8">
        <f t="shared" si="24"/>
        <v>6</v>
      </c>
      <c r="AP8" s="48">
        <f t="shared" si="3"/>
        <v>2216.6547999999998</v>
      </c>
      <c r="AQ8" s="48"/>
      <c r="AR8" s="42"/>
      <c r="AS8" s="42"/>
      <c r="AT8" s="42"/>
      <c r="AU8" s="42"/>
      <c r="AV8" s="18">
        <f t="shared" si="25"/>
        <v>7.9020795046662214E-3</v>
      </c>
      <c r="AW8" s="19">
        <f t="shared" si="4"/>
        <v>1.2171031898746698</v>
      </c>
      <c r="AX8" s="20">
        <f t="shared" si="26"/>
        <v>231.3706301204864</v>
      </c>
      <c r="AY8" s="21">
        <f t="shared" si="5"/>
        <v>567672.10739545582</v>
      </c>
      <c r="AZ8">
        <f t="shared" si="6"/>
        <v>1.6219203068441594E-2</v>
      </c>
      <c r="BA8">
        <f t="shared" si="7"/>
        <v>35000000</v>
      </c>
      <c r="BB8">
        <f t="shared" si="8"/>
        <v>35</v>
      </c>
      <c r="BC8">
        <f t="shared" si="9"/>
        <v>38.036813186813184</v>
      </c>
      <c r="BD8">
        <f t="shared" si="10"/>
        <v>1.7221524744100771</v>
      </c>
      <c r="BE8">
        <f t="shared" si="11"/>
        <v>154.25846013908642</v>
      </c>
      <c r="BF8" s="20">
        <f t="shared" si="12"/>
        <v>232.12813081729723</v>
      </c>
      <c r="BG8" s="22">
        <f t="shared" si="13"/>
        <v>25999.595043690759</v>
      </c>
      <c r="BH8">
        <f t="shared" si="14"/>
        <v>5.7103189874669891E-2</v>
      </c>
      <c r="BI8">
        <f t="shared" si="15"/>
        <v>1.57679691220819E-2</v>
      </c>
      <c r="BJ8">
        <f t="shared" si="16"/>
        <v>10321.174113690759</v>
      </c>
      <c r="BK8">
        <f t="shared" si="17"/>
        <v>577993.28150914656</v>
      </c>
      <c r="BL8" s="22">
        <f t="shared" si="18"/>
        <v>3.4578458081641537</v>
      </c>
      <c r="BM8" s="23">
        <f t="shared" si="19"/>
        <v>0.95481891732704016</v>
      </c>
      <c r="BN8" s="24">
        <f t="shared" si="20"/>
        <v>-3.4126647254911937</v>
      </c>
      <c r="BO8">
        <f t="shared" si="21"/>
        <v>1</v>
      </c>
    </row>
    <row r="9" spans="2:67" x14ac:dyDescent="0.3">
      <c r="B9" s="25">
        <v>43952</v>
      </c>
      <c r="C9" s="12">
        <v>36152.794000000002</v>
      </c>
      <c r="D9" s="26">
        <v>38538.296000000002</v>
      </c>
      <c r="G9" s="12">
        <v>27887.142</v>
      </c>
      <c r="I9" s="12">
        <v>35444.567000000003</v>
      </c>
      <c r="L9" s="12">
        <f t="shared" si="22"/>
        <v>138022.799</v>
      </c>
      <c r="M9" s="13">
        <f t="shared" si="27"/>
        <v>615262.49600000004</v>
      </c>
      <c r="N9" s="26">
        <v>313908</v>
      </c>
      <c r="O9" s="12">
        <v>402328</v>
      </c>
      <c r="R9" s="26">
        <v>137680</v>
      </c>
      <c r="T9" s="26">
        <v>354854</v>
      </c>
      <c r="W9" s="12">
        <f t="shared" si="0"/>
        <v>1208770</v>
      </c>
      <c r="X9" s="15">
        <f t="shared" si="1"/>
        <v>4335492</v>
      </c>
      <c r="Y9" s="26">
        <v>591.91420600000004</v>
      </c>
      <c r="Z9" s="26">
        <v>2539.3746649999998</v>
      </c>
      <c r="AC9" s="26">
        <v>5103.4367929999999</v>
      </c>
      <c r="AE9" s="26">
        <v>717.62215200000003</v>
      </c>
      <c r="AH9" s="12">
        <f t="shared" si="2"/>
        <v>8952.3478159999995</v>
      </c>
      <c r="AI9" s="17">
        <f t="shared" si="23"/>
        <v>24630.768746000002</v>
      </c>
      <c r="AK9" s="42"/>
      <c r="AL9" s="42"/>
      <c r="AM9" s="42"/>
      <c r="AN9" s="42"/>
      <c r="AO9">
        <f t="shared" si="24"/>
        <v>7</v>
      </c>
      <c r="AP9" s="48">
        <f t="shared" si="3"/>
        <v>2216.5805999999998</v>
      </c>
      <c r="AQ9" s="48"/>
      <c r="AR9" s="42"/>
      <c r="AS9" s="42"/>
      <c r="AT9" s="42"/>
      <c r="AU9" s="42"/>
      <c r="AV9" s="18">
        <f t="shared" si="25"/>
        <v>7.9023440266507792E-3</v>
      </c>
      <c r="AW9" s="19">
        <f t="shared" si="4"/>
        <v>1.2171031898746698</v>
      </c>
      <c r="AX9" s="20">
        <f t="shared" si="26"/>
        <v>248.84760622952058</v>
      </c>
      <c r="AY9" s="21">
        <f t="shared" si="5"/>
        <v>567672.63607217453</v>
      </c>
      <c r="AZ9">
        <f t="shared" si="6"/>
        <v>1.6219218173490701E-2</v>
      </c>
      <c r="BA9">
        <f t="shared" si="7"/>
        <v>35000000</v>
      </c>
      <c r="BB9">
        <f t="shared" si="8"/>
        <v>35</v>
      </c>
      <c r="BC9">
        <f t="shared" si="9"/>
        <v>38.036813186813184</v>
      </c>
      <c r="BD9">
        <f t="shared" si="10"/>
        <v>1.7221524744100771</v>
      </c>
      <c r="BE9">
        <f t="shared" si="11"/>
        <v>154.25846013908642</v>
      </c>
      <c r="BF9" s="20">
        <f t="shared" si="12"/>
        <v>232.12813081729723</v>
      </c>
      <c r="BG9" s="22">
        <f t="shared" si="13"/>
        <v>287086.43462822924</v>
      </c>
      <c r="BH9">
        <f t="shared" si="14"/>
        <v>5.7103189874669891E-2</v>
      </c>
      <c r="BI9">
        <f t="shared" si="15"/>
        <v>1.57679691220819E-2</v>
      </c>
      <c r="BJ9">
        <f t="shared" si="16"/>
        <v>262455.66588222922</v>
      </c>
      <c r="BK9">
        <f t="shared" si="17"/>
        <v>830128.30195440375</v>
      </c>
      <c r="BL9" s="22">
        <f t="shared" si="18"/>
        <v>2.4075936706507126</v>
      </c>
      <c r="BM9" s="23">
        <f t="shared" si="19"/>
        <v>0.66481159354952257</v>
      </c>
      <c r="BN9" s="24">
        <f t="shared" si="20"/>
        <v>-2.0724052642002353</v>
      </c>
      <c r="BO9">
        <f t="shared" si="21"/>
        <v>1</v>
      </c>
    </row>
    <row r="10" spans="2:67" x14ac:dyDescent="0.3">
      <c r="B10" s="25">
        <v>43983</v>
      </c>
      <c r="C10" s="12">
        <v>34487.737999999998</v>
      </c>
      <c r="D10" s="26">
        <v>43318.690999999999</v>
      </c>
      <c r="G10" s="12">
        <v>25486.512999999999</v>
      </c>
      <c r="I10" s="12">
        <v>35553.067000000003</v>
      </c>
      <c r="L10" s="12">
        <f t="shared" si="22"/>
        <v>138846.00900000002</v>
      </c>
      <c r="M10" s="13">
        <f t="shared" si="27"/>
        <v>754108.50500000012</v>
      </c>
      <c r="N10" s="26">
        <v>313938</v>
      </c>
      <c r="O10" s="12">
        <v>307317</v>
      </c>
      <c r="R10" s="26">
        <v>278696</v>
      </c>
      <c r="T10" s="26">
        <v>316891</v>
      </c>
      <c r="W10" s="12">
        <f t="shared" si="0"/>
        <v>1216842</v>
      </c>
      <c r="X10" s="15">
        <f t="shared" si="1"/>
        <v>5552334</v>
      </c>
      <c r="Y10" s="26">
        <v>528.45012599999995</v>
      </c>
      <c r="Z10" s="26">
        <v>1355.9802440000001</v>
      </c>
      <c r="AC10" s="26">
        <v>13118.723918</v>
      </c>
      <c r="AE10" s="26">
        <v>862.86621300000002</v>
      </c>
      <c r="AH10" s="12">
        <f t="shared" si="2"/>
        <v>15866.020500999999</v>
      </c>
      <c r="AI10" s="17">
        <f t="shared" si="23"/>
        <v>40496.789247000001</v>
      </c>
      <c r="AO10">
        <f t="shared" si="24"/>
        <v>8</v>
      </c>
      <c r="AP10" s="48">
        <f t="shared" si="3"/>
        <v>2216.5063999999998</v>
      </c>
      <c r="AQ10" s="48"/>
      <c r="AR10" s="42"/>
      <c r="AS10" s="42"/>
      <c r="AT10" s="42"/>
      <c r="AU10" s="42"/>
      <c r="AV10" s="18">
        <f t="shared" si="25"/>
        <v>7.9026085663456702E-3</v>
      </c>
      <c r="AW10" s="19">
        <f t="shared" si="4"/>
        <v>1.2171031898746698</v>
      </c>
      <c r="AX10" s="20">
        <f t="shared" si="26"/>
        <v>260.01431917254399</v>
      </c>
      <c r="AY10" s="21">
        <f t="shared" si="5"/>
        <v>567673.16478428966</v>
      </c>
      <c r="AZ10">
        <f t="shared" si="6"/>
        <v>1.6219233279551128E-2</v>
      </c>
      <c r="BA10">
        <f t="shared" si="7"/>
        <v>35000000.000000007</v>
      </c>
      <c r="BB10">
        <f t="shared" si="8"/>
        <v>35.000000000000007</v>
      </c>
      <c r="BC10">
        <f t="shared" si="9"/>
        <v>38.036813186813184</v>
      </c>
      <c r="BD10">
        <f t="shared" si="10"/>
        <v>1.7221524744100771</v>
      </c>
      <c r="BE10">
        <f t="shared" si="11"/>
        <v>154.25846013908642</v>
      </c>
      <c r="BF10" s="20">
        <f t="shared" si="12"/>
        <v>232.12813081729723</v>
      </c>
      <c r="BG10" s="22">
        <f>M10*(AW10+(AX10 -BF10)*AV10) + AI10*1 -( 35*10^6 *(AZ10) )</f>
        <v>556837.12080875027</v>
      </c>
      <c r="BH10">
        <f t="shared" si="14"/>
        <v>5.7103189874669891E-2</v>
      </c>
      <c r="BI10">
        <f t="shared" si="15"/>
        <v>1.57679691220819E-2</v>
      </c>
      <c r="BJ10">
        <f t="shared" si="16"/>
        <v>516340.33156175027</v>
      </c>
      <c r="BK10">
        <f t="shared" si="17"/>
        <v>1084013.4963460399</v>
      </c>
      <c r="BL10" s="22">
        <f t="shared" si="18"/>
        <v>1.8437147252781503</v>
      </c>
      <c r="BM10" s="23">
        <f t="shared" si="19"/>
        <v>0.5091070555238687</v>
      </c>
      <c r="BN10" s="24">
        <f t="shared" si="20"/>
        <v>-1.3528217808020191</v>
      </c>
      <c r="BO10">
        <f t="shared" si="21"/>
        <v>1</v>
      </c>
    </row>
    <row r="11" spans="2:67" x14ac:dyDescent="0.3">
      <c r="B11" s="25">
        <v>44013</v>
      </c>
      <c r="C11" s="12">
        <v>34302.982616819398</v>
      </c>
      <c r="D11" s="26">
        <v>42852.655683565201</v>
      </c>
      <c r="G11" s="12">
        <v>18957.063823328397</v>
      </c>
      <c r="I11" s="12">
        <v>35132.965327712998</v>
      </c>
      <c r="L11" s="12">
        <f t="shared" si="22"/>
        <v>131245.66745142598</v>
      </c>
      <c r="M11" s="13">
        <f t="shared" si="27"/>
        <v>885354.17245142604</v>
      </c>
      <c r="N11" s="26">
        <v>285522</v>
      </c>
      <c r="O11" s="12">
        <v>283725</v>
      </c>
      <c r="R11" s="26">
        <v>281921</v>
      </c>
      <c r="T11" s="26">
        <v>283002</v>
      </c>
      <c r="W11" s="12">
        <f t="shared" si="0"/>
        <v>1134170</v>
      </c>
      <c r="X11" s="15">
        <f t="shared" si="1"/>
        <v>6686504</v>
      </c>
      <c r="Y11" s="26">
        <v>659.50439800000004</v>
      </c>
      <c r="Z11" s="26">
        <v>1138.397193</v>
      </c>
      <c r="AC11" s="26">
        <v>23516.077805000001</v>
      </c>
      <c r="AE11" s="26">
        <v>777.73376900000005</v>
      </c>
      <c r="AH11" s="12">
        <f t="shared" si="2"/>
        <v>26091.713165000001</v>
      </c>
      <c r="AI11" s="17">
        <f t="shared" si="23"/>
        <v>66588.502412000002</v>
      </c>
      <c r="AK11" t="s">
        <v>45</v>
      </c>
      <c r="AL11" s="27">
        <v>1.5047999999999999</v>
      </c>
      <c r="AO11">
        <f t="shared" si="24"/>
        <v>9</v>
      </c>
      <c r="AP11" s="48">
        <f t="shared" si="3"/>
        <v>2216.4321999999997</v>
      </c>
      <c r="AQ11" s="48"/>
      <c r="AR11" s="42"/>
      <c r="AS11" s="42"/>
      <c r="AT11" s="42"/>
      <c r="AU11" s="42"/>
      <c r="AV11" s="18">
        <f t="shared" si="25"/>
        <v>7.9028731237526691E-3</v>
      </c>
      <c r="AW11" s="19">
        <f t="shared" si="4"/>
        <v>1.2171031898746698</v>
      </c>
      <c r="AX11" s="20">
        <f t="shared" si="26"/>
        <v>266.70895123810482</v>
      </c>
      <c r="AY11" s="21">
        <f t="shared" si="5"/>
        <v>567673.69353180414</v>
      </c>
      <c r="AZ11">
        <f t="shared" si="6"/>
        <v>1.6219248386622975E-2</v>
      </c>
      <c r="BA11">
        <f t="shared" si="7"/>
        <v>35000000</v>
      </c>
      <c r="BB11">
        <f t="shared" si="8"/>
        <v>35</v>
      </c>
      <c r="BC11">
        <f t="shared" si="9"/>
        <v>38.036813186813184</v>
      </c>
      <c r="BD11">
        <f t="shared" si="10"/>
        <v>1.7221524744100771</v>
      </c>
      <c r="BE11">
        <f t="shared" si="11"/>
        <v>154.25846013908642</v>
      </c>
      <c r="BF11" s="20">
        <f t="shared" si="12"/>
        <v>232.12813081729723</v>
      </c>
      <c r="BG11" s="22">
        <f t="shared" si="13"/>
        <v>818438.72248891473</v>
      </c>
      <c r="BH11">
        <f t="shared" si="14"/>
        <v>5.7103189874669891E-2</v>
      </c>
      <c r="BI11">
        <f t="shared" si="15"/>
        <v>1.57679691220819E-2</v>
      </c>
      <c r="BJ11">
        <f t="shared" si="16"/>
        <v>751850.22007691476</v>
      </c>
      <c r="BK11">
        <f t="shared" si="17"/>
        <v>1319523.9136087189</v>
      </c>
      <c r="BL11" s="22">
        <f t="shared" si="18"/>
        <v>1.5146460211907145</v>
      </c>
      <c r="BM11" s="23">
        <f t="shared" si="19"/>
        <v>0.41824093794825778</v>
      </c>
      <c r="BN11" s="24">
        <f t="shared" si="20"/>
        <v>-0.93288695913897224</v>
      </c>
      <c r="BO11">
        <f t="shared" si="21"/>
        <v>0.99999999999999989</v>
      </c>
    </row>
    <row r="12" spans="2:67" x14ac:dyDescent="0.3">
      <c r="B12" s="25">
        <v>44044</v>
      </c>
      <c r="C12" s="12">
        <v>35767.324999999997</v>
      </c>
      <c r="D12" s="26">
        <v>44358.150999999998</v>
      </c>
      <c r="G12" s="12">
        <v>15832.148999999999</v>
      </c>
      <c r="I12" s="12">
        <v>36477.771999999997</v>
      </c>
      <c r="L12" s="12">
        <f t="shared" si="22"/>
        <v>132435.397</v>
      </c>
      <c r="M12" s="13">
        <f t="shared" si="27"/>
        <v>1017789.569451426</v>
      </c>
      <c r="N12" s="26">
        <v>302148</v>
      </c>
      <c r="O12" s="12">
        <v>300540</v>
      </c>
      <c r="R12" s="26">
        <v>300968</v>
      </c>
      <c r="T12" s="26">
        <v>298429</v>
      </c>
      <c r="W12" s="12">
        <f t="shared" si="0"/>
        <v>1202085</v>
      </c>
      <c r="X12" s="15">
        <f t="shared" si="1"/>
        <v>7888589</v>
      </c>
      <c r="Y12" s="26">
        <v>609.63257599999997</v>
      </c>
      <c r="Z12" s="26">
        <v>1173.638942</v>
      </c>
      <c r="AC12" s="26">
        <v>26015.568846999999</v>
      </c>
      <c r="AE12" s="26">
        <v>919.67568700000004</v>
      </c>
      <c r="AH12" s="12">
        <f t="shared" si="2"/>
        <v>28718.516051999999</v>
      </c>
      <c r="AI12" s="17">
        <f t="shared" si="23"/>
        <v>95307.018463999993</v>
      </c>
      <c r="AO12">
        <f t="shared" si="24"/>
        <v>10</v>
      </c>
      <c r="AP12" s="48">
        <f t="shared" si="3"/>
        <v>2216.3579999999997</v>
      </c>
      <c r="AQ12" s="48"/>
      <c r="AR12" s="42"/>
      <c r="AS12" s="42"/>
      <c r="AT12" s="42"/>
      <c r="AU12" s="42"/>
      <c r="AV12" s="18">
        <f t="shared" si="25"/>
        <v>7.903137698873559E-3</v>
      </c>
      <c r="AW12" s="19">
        <f t="shared" si="4"/>
        <v>1.2171031898746698</v>
      </c>
      <c r="AX12" s="20">
        <f t="shared" si="26"/>
        <v>273.71390149778438</v>
      </c>
      <c r="AY12" s="21">
        <f t="shared" si="5"/>
        <v>567674.2223147219</v>
      </c>
      <c r="AZ12">
        <f t="shared" si="6"/>
        <v>1.621926349470634E-2</v>
      </c>
      <c r="BA12">
        <f t="shared" si="7"/>
        <v>35000000</v>
      </c>
      <c r="BB12">
        <f t="shared" si="8"/>
        <v>35</v>
      </c>
      <c r="BC12">
        <f t="shared" si="9"/>
        <v>38.036813186813184</v>
      </c>
      <c r="BD12">
        <f t="shared" si="10"/>
        <v>1.7221524744100771</v>
      </c>
      <c r="BE12">
        <f t="shared" si="11"/>
        <v>154.25846013908642</v>
      </c>
      <c r="BF12" s="20">
        <f t="shared" si="12"/>
        <v>232.12813081729723</v>
      </c>
      <c r="BG12" s="22">
        <f t="shared" si="13"/>
        <v>1100892.4853490896</v>
      </c>
      <c r="BH12">
        <f t="shared" si="14"/>
        <v>5.7103189874669891E-2</v>
      </c>
      <c r="BI12">
        <f t="shared" si="15"/>
        <v>1.57679691220819E-2</v>
      </c>
      <c r="BJ12">
        <f t="shared" si="16"/>
        <v>1005585.4668850896</v>
      </c>
      <c r="BK12">
        <f t="shared" si="17"/>
        <v>1573259.6891998115</v>
      </c>
      <c r="BL12" s="22">
        <f t="shared" si="18"/>
        <v>1.2703634748500905</v>
      </c>
      <c r="BM12" s="23">
        <f t="shared" si="19"/>
        <v>0.35078691907091453</v>
      </c>
      <c r="BN12" s="24">
        <f t="shared" si="20"/>
        <v>-0.62115039392100502</v>
      </c>
      <c r="BO12">
        <f t="shared" si="21"/>
        <v>1</v>
      </c>
    </row>
    <row r="13" spans="2:67" x14ac:dyDescent="0.3">
      <c r="B13" s="25">
        <v>44075</v>
      </c>
      <c r="C13" s="12">
        <v>33228.538999999997</v>
      </c>
      <c r="D13" s="26">
        <v>40721.800999999999</v>
      </c>
      <c r="G13" s="12">
        <v>9811.8459999999995</v>
      </c>
      <c r="I13" s="12">
        <v>32314.04</v>
      </c>
      <c r="L13" s="12">
        <f t="shared" si="22"/>
        <v>116076.226</v>
      </c>
      <c r="M13" s="13">
        <f t="shared" si="27"/>
        <v>1133865.7954514259</v>
      </c>
      <c r="N13" s="26">
        <v>291370</v>
      </c>
      <c r="O13" s="12">
        <v>289822</v>
      </c>
      <c r="R13" s="26">
        <v>290244</v>
      </c>
      <c r="T13" s="26">
        <v>287783</v>
      </c>
      <c r="W13" s="12">
        <f t="shared" si="0"/>
        <v>1159219</v>
      </c>
      <c r="X13" s="15">
        <f t="shared" si="1"/>
        <v>9047808</v>
      </c>
      <c r="Y13" s="26">
        <v>583.49216799999999</v>
      </c>
      <c r="Z13" s="26">
        <v>1386.045486</v>
      </c>
      <c r="AC13" s="26">
        <v>31383.384806999999</v>
      </c>
      <c r="AE13" s="26">
        <v>914.18468800000005</v>
      </c>
      <c r="AH13" s="12">
        <f t="shared" si="2"/>
        <v>34267.107149000003</v>
      </c>
      <c r="AI13" s="17">
        <f t="shared" si="23"/>
        <v>129574.125613</v>
      </c>
      <c r="AJ13" t="s">
        <v>46</v>
      </c>
      <c r="AK13" t="s">
        <v>47</v>
      </c>
      <c r="AL13" s="27">
        <v>0.85470000000000002</v>
      </c>
      <c r="AO13">
        <f t="shared" si="24"/>
        <v>11</v>
      </c>
      <c r="AP13" s="48">
        <f t="shared" si="3"/>
        <v>2216.2837999999997</v>
      </c>
      <c r="AQ13" s="48"/>
      <c r="AR13" s="42"/>
      <c r="AS13" s="42"/>
      <c r="AT13" s="42"/>
      <c r="AU13" s="42"/>
      <c r="AV13" s="18">
        <f t="shared" si="25"/>
        <v>7.9034022917101147E-3</v>
      </c>
      <c r="AW13" s="19">
        <f t="shared" si="4"/>
        <v>1.2171031898746698</v>
      </c>
      <c r="AX13" s="20">
        <f t="shared" si="26"/>
        <v>281.79756939434731</v>
      </c>
      <c r="AY13" s="21">
        <f t="shared" si="5"/>
        <v>567674.75113304635</v>
      </c>
      <c r="AZ13">
        <f t="shared" si="6"/>
        <v>1.6219278603801325E-2</v>
      </c>
      <c r="BA13">
        <f t="shared" si="7"/>
        <v>35000000</v>
      </c>
      <c r="BB13">
        <f t="shared" si="8"/>
        <v>35</v>
      </c>
      <c r="BC13">
        <f t="shared" si="9"/>
        <v>38.036813186813184</v>
      </c>
      <c r="BD13">
        <f t="shared" si="10"/>
        <v>1.7221524744100771</v>
      </c>
      <c r="BE13">
        <f t="shared" si="11"/>
        <v>154.25846013908642</v>
      </c>
      <c r="BF13" s="20">
        <f t="shared" si="12"/>
        <v>232.12813081729723</v>
      </c>
      <c r="BG13" s="22">
        <f t="shared" si="13"/>
        <v>1387038.6350088886</v>
      </c>
      <c r="BH13">
        <f t="shared" si="14"/>
        <v>5.7103189874669891E-2</v>
      </c>
      <c r="BI13">
        <f t="shared" si="15"/>
        <v>1.57679691220819E-2</v>
      </c>
      <c r="BJ13">
        <f t="shared" si="16"/>
        <v>1257464.5093958885</v>
      </c>
      <c r="BK13">
        <f t="shared" si="17"/>
        <v>1825139.2605289349</v>
      </c>
      <c r="BL13" s="22">
        <f t="shared" si="18"/>
        <v>1.0950461089934793</v>
      </c>
      <c r="BM13" s="23">
        <f t="shared" si="19"/>
        <v>0.30237633434773031</v>
      </c>
      <c r="BN13" s="24">
        <f t="shared" si="20"/>
        <v>-0.39742244334120963</v>
      </c>
      <c r="BO13">
        <f t="shared" si="21"/>
        <v>1</v>
      </c>
    </row>
    <row r="14" spans="2:67" x14ac:dyDescent="0.3">
      <c r="B14" s="25">
        <v>44105</v>
      </c>
      <c r="C14" s="12">
        <v>30783.079000000002</v>
      </c>
      <c r="D14" s="26">
        <v>37724.870999999999</v>
      </c>
      <c r="G14" s="12">
        <v>9089.7420000000002</v>
      </c>
      <c r="I14" s="12">
        <v>29935.887999999999</v>
      </c>
      <c r="L14" s="12">
        <f t="shared" si="22"/>
        <v>107533.57999999999</v>
      </c>
      <c r="M14" s="13">
        <f t="shared" si="27"/>
        <v>1241399.375451426</v>
      </c>
      <c r="N14" s="26">
        <v>309984</v>
      </c>
      <c r="O14" s="12">
        <v>308336</v>
      </c>
      <c r="R14" s="26">
        <v>308784</v>
      </c>
      <c r="T14" s="26">
        <v>306167</v>
      </c>
      <c r="W14" s="12">
        <f t="shared" si="0"/>
        <v>1233271</v>
      </c>
      <c r="X14" s="15">
        <f>X13+W14</f>
        <v>10281079</v>
      </c>
      <c r="Y14" s="26">
        <v>697.92249900000002</v>
      </c>
      <c r="Z14" s="26">
        <v>1657.8403249999999</v>
      </c>
      <c r="AC14" s="26">
        <v>37537.388024</v>
      </c>
      <c r="AE14" s="26">
        <v>1093.4376999999999</v>
      </c>
      <c r="AH14" s="12">
        <f t="shared" si="2"/>
        <v>40986.588548</v>
      </c>
      <c r="AI14" s="17">
        <f t="shared" si="23"/>
        <v>170560.71416099998</v>
      </c>
      <c r="AO14">
        <f t="shared" si="24"/>
        <v>12</v>
      </c>
      <c r="AP14" s="48">
        <f t="shared" si="3"/>
        <v>2216.2095999999997</v>
      </c>
      <c r="AQ14" s="48"/>
      <c r="AR14" s="42"/>
      <c r="AS14" s="42"/>
      <c r="AT14" s="42"/>
      <c r="AU14" s="42"/>
      <c r="AV14" s="18">
        <f t="shared" si="25"/>
        <v>7.9036669022641195E-3</v>
      </c>
      <c r="AW14" s="19">
        <f t="shared" si="4"/>
        <v>1.2171031898746698</v>
      </c>
      <c r="AX14" s="20">
        <f t="shared" si="26"/>
        <v>292.470922525856</v>
      </c>
      <c r="AY14" s="21">
        <f t="shared" si="5"/>
        <v>567675.27998678084</v>
      </c>
      <c r="AZ14">
        <f t="shared" si="6"/>
        <v>1.6219293713908033E-2</v>
      </c>
      <c r="BA14">
        <f t="shared" si="7"/>
        <v>34999999.999999978</v>
      </c>
      <c r="BB14">
        <f t="shared" si="8"/>
        <v>34.999999999999979</v>
      </c>
      <c r="BC14">
        <f t="shared" si="9"/>
        <v>38.036813186813184</v>
      </c>
      <c r="BD14">
        <f t="shared" si="10"/>
        <v>1.7221524744100771</v>
      </c>
      <c r="BE14">
        <f t="shared" si="11"/>
        <v>154.25846013908642</v>
      </c>
      <c r="BF14" s="20">
        <f t="shared" si="12"/>
        <v>232.12813081729723</v>
      </c>
      <c r="BG14" s="22">
        <f t="shared" si="13"/>
        <v>1705856.3409001771</v>
      </c>
      <c r="BH14">
        <f t="shared" si="14"/>
        <v>5.7103189874669891E-2</v>
      </c>
      <c r="BI14">
        <f t="shared" si="15"/>
        <v>1.57679691220819E-2</v>
      </c>
      <c r="BJ14">
        <f t="shared" si="16"/>
        <v>1535295.6267391772</v>
      </c>
      <c r="BK14">
        <f t="shared" si="17"/>
        <v>2102970.906725958</v>
      </c>
      <c r="BL14" s="22">
        <f t="shared" si="18"/>
        <v>0.95037531866050151</v>
      </c>
      <c r="BM14" s="23">
        <f t="shared" si="19"/>
        <v>0.26242822357065676</v>
      </c>
      <c r="BN14" s="24">
        <f t="shared" si="20"/>
        <v>-0.21280354223115827</v>
      </c>
      <c r="BO14">
        <f t="shared" si="21"/>
        <v>1</v>
      </c>
    </row>
    <row r="15" spans="2:67" x14ac:dyDescent="0.3">
      <c r="B15" s="25">
        <v>44136</v>
      </c>
      <c r="C15" s="12">
        <v>29597.077000000001</v>
      </c>
      <c r="D15" s="26">
        <v>38611.614000000001</v>
      </c>
      <c r="G15" s="12">
        <v>7222.982</v>
      </c>
      <c r="I15" s="12">
        <v>31034.786</v>
      </c>
      <c r="L15" s="12">
        <f t="shared" si="22"/>
        <v>106466.459</v>
      </c>
      <c r="M15" s="13">
        <f t="shared" si="27"/>
        <v>1347865.8344514261</v>
      </c>
      <c r="N15" s="26">
        <v>328214</v>
      </c>
      <c r="O15" s="12">
        <v>326476</v>
      </c>
      <c r="R15" s="26">
        <v>326933</v>
      </c>
      <c r="T15" s="26">
        <v>324182</v>
      </c>
      <c r="W15" s="12">
        <f t="shared" si="0"/>
        <v>1305805</v>
      </c>
      <c r="X15" s="15">
        <f t="shared" si="1"/>
        <v>11586884</v>
      </c>
      <c r="Y15" s="26">
        <v>568.46583499999997</v>
      </c>
      <c r="Z15" s="26">
        <v>1261.148929</v>
      </c>
      <c r="AC15" s="26">
        <v>30947.438769</v>
      </c>
      <c r="AE15" s="26">
        <v>1243.6192579999999</v>
      </c>
      <c r="AH15" s="12">
        <f t="shared" si="2"/>
        <v>34020.672790999997</v>
      </c>
      <c r="AI15" s="17">
        <f t="shared" si="23"/>
        <v>204581.38695199997</v>
      </c>
      <c r="AK15" t="s">
        <v>48</v>
      </c>
      <c r="AL15">
        <v>0.93</v>
      </c>
      <c r="AO15">
        <f t="shared" si="24"/>
        <v>13</v>
      </c>
      <c r="AP15" s="48">
        <f t="shared" si="3"/>
        <v>2216.1354000000001</v>
      </c>
      <c r="AQ15" s="48"/>
      <c r="AR15" s="42"/>
      <c r="AS15" s="42"/>
      <c r="AT15" s="42"/>
      <c r="AU15" s="42"/>
      <c r="AV15" s="18">
        <f t="shared" si="25"/>
        <v>7.9039315305373479E-3</v>
      </c>
      <c r="AW15" s="19">
        <f t="shared" si="4"/>
        <v>1.2171031898746698</v>
      </c>
      <c r="AX15" s="20">
        <f t="shared" si="26"/>
        <v>303.58164880804844</v>
      </c>
      <c r="AY15" s="21">
        <f t="shared" si="5"/>
        <v>567675.80887592933</v>
      </c>
      <c r="AZ15">
        <f t="shared" si="6"/>
        <v>1.6219308825026563E-2</v>
      </c>
      <c r="BA15">
        <f t="shared" si="7"/>
        <v>34999999.999999978</v>
      </c>
      <c r="BB15">
        <f t="shared" si="8"/>
        <v>34.999999999999979</v>
      </c>
      <c r="BC15">
        <f t="shared" si="9"/>
        <v>38.036813186813184</v>
      </c>
      <c r="BD15">
        <f t="shared" si="10"/>
        <v>1.7221524744100771</v>
      </c>
      <c r="BE15">
        <f t="shared" si="11"/>
        <v>154.25846013908642</v>
      </c>
      <c r="BF15" s="20">
        <f t="shared" si="12"/>
        <v>232.12813081729723</v>
      </c>
      <c r="BG15" s="22">
        <f t="shared" si="13"/>
        <v>2038623.099099013</v>
      </c>
      <c r="BH15">
        <f t="shared" si="14"/>
        <v>5.7103189874669891E-2</v>
      </c>
      <c r="BI15">
        <f t="shared" si="15"/>
        <v>1.57679691220819E-2</v>
      </c>
      <c r="BJ15">
        <f t="shared" si="16"/>
        <v>1834041.7121470131</v>
      </c>
      <c r="BK15">
        <f t="shared" si="17"/>
        <v>2401717.5210229424</v>
      </c>
      <c r="BL15" s="22">
        <f t="shared" si="18"/>
        <v>0.83215933102831974</v>
      </c>
      <c r="BM15" s="23">
        <f t="shared" si="19"/>
        <v>0.22978510771650179</v>
      </c>
      <c r="BN15" s="24">
        <f t="shared" si="20"/>
        <v>-6.1944438744821528E-2</v>
      </c>
      <c r="BO15">
        <f t="shared" si="21"/>
        <v>1</v>
      </c>
    </row>
    <row r="16" spans="2:67" x14ac:dyDescent="0.3">
      <c r="B16" s="25">
        <v>44166</v>
      </c>
      <c r="C16" s="12">
        <v>28657.703000000001</v>
      </c>
      <c r="D16" s="26">
        <v>26772.396000000001</v>
      </c>
      <c r="G16" s="12">
        <v>6359.9390000000003</v>
      </c>
      <c r="I16" s="12">
        <v>30925.904999999999</v>
      </c>
      <c r="L16" s="12">
        <f t="shared" si="22"/>
        <v>92715.942999999999</v>
      </c>
      <c r="M16" s="13">
        <f t="shared" si="27"/>
        <v>1440581.777451426</v>
      </c>
      <c r="N16" s="26">
        <v>221632</v>
      </c>
      <c r="O16" s="12">
        <v>199188</v>
      </c>
      <c r="R16" s="26">
        <v>229302</v>
      </c>
      <c r="T16" s="26">
        <v>232699</v>
      </c>
      <c r="W16" s="12">
        <f t="shared" si="0"/>
        <v>882821</v>
      </c>
      <c r="X16" s="15">
        <f t="shared" si="1"/>
        <v>12469705</v>
      </c>
      <c r="Y16" s="26">
        <v>755.92703500000005</v>
      </c>
      <c r="Z16" s="26">
        <v>766.92789400000004</v>
      </c>
      <c r="AC16" s="26">
        <v>27336.621833000001</v>
      </c>
      <c r="AE16" s="26">
        <v>1132.5917099999999</v>
      </c>
      <c r="AH16" s="12">
        <f t="shared" si="2"/>
        <v>29992.068472000003</v>
      </c>
      <c r="AI16" s="17">
        <f t="shared" si="23"/>
        <v>234573.45542399999</v>
      </c>
      <c r="AO16">
        <f t="shared" si="24"/>
        <v>14</v>
      </c>
      <c r="AP16" s="48">
        <f t="shared" si="3"/>
        <v>2216.0612000000001</v>
      </c>
      <c r="AQ16" s="48"/>
      <c r="AR16" s="42"/>
      <c r="AS16" s="42"/>
      <c r="AT16" s="42"/>
      <c r="AU16" s="42"/>
      <c r="AV16" s="18">
        <f t="shared" si="25"/>
        <v>7.9041961765315867E-3</v>
      </c>
      <c r="AW16" s="19">
        <f t="shared" si="4"/>
        <v>1.2171031898746698</v>
      </c>
      <c r="AX16" s="20">
        <f t="shared" si="26"/>
        <v>305.68475740583102</v>
      </c>
      <c r="AY16" s="21">
        <f t="shared" si="5"/>
        <v>567676.33780049579</v>
      </c>
      <c r="AZ16">
        <f t="shared" si="6"/>
        <v>1.6219323937157023E-2</v>
      </c>
      <c r="BA16">
        <f t="shared" si="7"/>
        <v>35000000</v>
      </c>
      <c r="BB16">
        <f t="shared" si="8"/>
        <v>35</v>
      </c>
      <c r="BC16">
        <f t="shared" si="9"/>
        <v>38.036813186813184</v>
      </c>
      <c r="BD16">
        <f t="shared" si="10"/>
        <v>1.7221524744100771</v>
      </c>
      <c r="BE16">
        <f t="shared" si="11"/>
        <v>154.25846013908642</v>
      </c>
      <c r="BF16" s="20">
        <f t="shared" si="12"/>
        <v>232.12813081729723</v>
      </c>
      <c r="BG16" s="22">
        <f t="shared" si="13"/>
        <v>2257796.6927008396</v>
      </c>
      <c r="BH16">
        <f t="shared" si="14"/>
        <v>5.7103189874669891E-2</v>
      </c>
      <c r="BI16">
        <f t="shared" si="15"/>
        <v>1.57679691220819E-2</v>
      </c>
      <c r="BJ16">
        <f t="shared" si="16"/>
        <v>2023223.2372768396</v>
      </c>
      <c r="BK16">
        <f t="shared" si="17"/>
        <v>2590899.5750773354</v>
      </c>
      <c r="BL16" s="22">
        <f t="shared" si="18"/>
        <v>0.77139680165094393</v>
      </c>
      <c r="BM16" s="23">
        <f t="shared" si="19"/>
        <v>0.21300668099279513</v>
      </c>
      <c r="BN16" s="24">
        <f t="shared" si="20"/>
        <v>1.5596517356260942E-2</v>
      </c>
      <c r="BO16">
        <f t="shared" si="21"/>
        <v>1</v>
      </c>
    </row>
    <row r="17" spans="2:67" x14ac:dyDescent="0.3">
      <c r="B17" s="25">
        <v>44197</v>
      </c>
      <c r="C17" s="12">
        <v>31356.208999999999</v>
      </c>
      <c r="D17" s="26">
        <v>7583.1019999999999</v>
      </c>
      <c r="G17" s="12">
        <v>6498.6880000000001</v>
      </c>
      <c r="I17" s="12">
        <v>35661.656000000003</v>
      </c>
      <c r="L17" s="12">
        <f t="shared" si="22"/>
        <v>81099.654999999999</v>
      </c>
      <c r="M17" s="13">
        <f t="shared" si="27"/>
        <v>1521681.4324514261</v>
      </c>
      <c r="N17" s="26">
        <v>234181</v>
      </c>
      <c r="O17" s="12">
        <v>122856</v>
      </c>
      <c r="R17" s="26">
        <v>243212</v>
      </c>
      <c r="T17" s="26">
        <v>273320</v>
      </c>
      <c r="W17" s="12">
        <f t="shared" si="0"/>
        <v>873569</v>
      </c>
      <c r="X17" s="15">
        <f t="shared" si="1"/>
        <v>13343274</v>
      </c>
      <c r="Y17" s="26">
        <v>1034.8922439999999</v>
      </c>
      <c r="Z17" s="26">
        <v>227.28821300000001</v>
      </c>
      <c r="AC17" s="26">
        <v>22542.838184</v>
      </c>
      <c r="AE17" s="26">
        <v>877.38936000000001</v>
      </c>
      <c r="AH17" s="12">
        <f t="shared" si="2"/>
        <v>24682.408001</v>
      </c>
      <c r="AI17" s="17">
        <f t="shared" si="23"/>
        <v>259255.86342499999</v>
      </c>
      <c r="AK17" s="4" t="s">
        <v>49</v>
      </c>
      <c r="AL17" s="4"/>
      <c r="AM17" s="4">
        <f>((141.5/AL13) - 131.5)</f>
        <v>34.055165555165559</v>
      </c>
      <c r="AO17">
        <f t="shared" si="24"/>
        <v>15</v>
      </c>
      <c r="AP17" s="48">
        <f t="shared" si="3"/>
        <v>2215.9870000000001</v>
      </c>
      <c r="AQ17" s="48"/>
      <c r="AR17" s="42"/>
      <c r="AS17" s="42"/>
      <c r="AT17" s="42"/>
      <c r="AU17" s="42"/>
      <c r="AV17" s="18">
        <f t="shared" si="25"/>
        <v>7.9044608402486106E-3</v>
      </c>
      <c r="AW17" s="19">
        <f t="shared" si="4"/>
        <v>1.2171031898746698</v>
      </c>
      <c r="AX17" s="20">
        <f t="shared" si="26"/>
        <v>309.66647044426082</v>
      </c>
      <c r="AY17" s="21">
        <f t="shared" si="5"/>
        <v>567676.86676048301</v>
      </c>
      <c r="AZ17">
        <f t="shared" si="6"/>
        <v>1.621933905029951E-2</v>
      </c>
      <c r="BA17">
        <f t="shared" si="7"/>
        <v>35000000.000000007</v>
      </c>
      <c r="BB17">
        <f t="shared" si="8"/>
        <v>35.000000000000007</v>
      </c>
      <c r="BC17">
        <f t="shared" si="9"/>
        <v>38.036813186813184</v>
      </c>
      <c r="BD17">
        <f t="shared" si="10"/>
        <v>1.7221524744100771</v>
      </c>
      <c r="BE17">
        <f t="shared" si="11"/>
        <v>154.25846013908642</v>
      </c>
      <c r="BF17" s="20">
        <f t="shared" si="12"/>
        <v>232.12813081729723</v>
      </c>
      <c r="BG17" s="22">
        <f t="shared" si="13"/>
        <v>2476258.9991370058</v>
      </c>
      <c r="BH17">
        <f t="shared" si="14"/>
        <v>5.7103189874669891E-2</v>
      </c>
      <c r="BI17">
        <f t="shared" si="15"/>
        <v>1.57679691220819E-2</v>
      </c>
      <c r="BJ17">
        <f t="shared" si="16"/>
        <v>2217003.1357120057</v>
      </c>
      <c r="BK17">
        <f t="shared" si="17"/>
        <v>2784680.0024724887</v>
      </c>
      <c r="BL17" s="22">
        <f t="shared" si="18"/>
        <v>0.71771680905486424</v>
      </c>
      <c r="BM17" s="23">
        <f t="shared" si="19"/>
        <v>0.19818396324994572</v>
      </c>
      <c r="BN17" s="24">
        <f t="shared" si="20"/>
        <v>8.4099227695190043E-2</v>
      </c>
      <c r="BO17">
        <f t="shared" si="21"/>
        <v>1</v>
      </c>
    </row>
    <row r="18" spans="2:67" x14ac:dyDescent="0.3">
      <c r="B18" s="25">
        <v>44228</v>
      </c>
      <c r="C18" s="12">
        <v>27755.112000000001</v>
      </c>
      <c r="D18" s="26">
        <v>2549.6689999999999</v>
      </c>
      <c r="G18" s="12">
        <v>5316.4170000000004</v>
      </c>
      <c r="I18" s="12">
        <v>29400.246999999999</v>
      </c>
      <c r="L18" s="12">
        <f t="shared" si="22"/>
        <v>65021.445000000007</v>
      </c>
      <c r="M18" s="13">
        <f t="shared" si="27"/>
        <v>1586702.8774514261</v>
      </c>
      <c r="N18" s="26">
        <v>235504</v>
      </c>
      <c r="O18" s="12">
        <v>48885</v>
      </c>
      <c r="R18" s="26">
        <v>244584</v>
      </c>
      <c r="T18" s="26">
        <v>274878</v>
      </c>
      <c r="W18" s="12">
        <f t="shared" si="0"/>
        <v>803851</v>
      </c>
      <c r="X18" s="15">
        <f t="shared" si="1"/>
        <v>14147125</v>
      </c>
      <c r="Y18" s="26">
        <v>325.01912299999998</v>
      </c>
      <c r="Z18" s="26">
        <v>38.858383000000003</v>
      </c>
      <c r="AC18" s="26">
        <v>10530.433476</v>
      </c>
      <c r="AE18" s="26">
        <v>520.23564599999997</v>
      </c>
      <c r="AH18" s="12">
        <f t="shared" si="2"/>
        <v>11414.546628</v>
      </c>
      <c r="AI18" s="17">
        <f t="shared" si="23"/>
        <v>270670.41005299997</v>
      </c>
      <c r="AO18">
        <f t="shared" si="24"/>
        <v>16</v>
      </c>
      <c r="AP18" s="48">
        <f t="shared" si="3"/>
        <v>2215.9128000000001</v>
      </c>
      <c r="AQ18" s="48"/>
      <c r="AR18" s="42"/>
      <c r="AS18" s="42"/>
      <c r="AT18" s="42"/>
      <c r="AU18" s="42"/>
      <c r="AV18" s="18">
        <f t="shared" si="25"/>
        <v>7.9047255216902028E-3</v>
      </c>
      <c r="AW18" s="19">
        <f t="shared" si="4"/>
        <v>1.2171031898746698</v>
      </c>
      <c r="AX18" s="20">
        <f t="shared" si="26"/>
        <v>314.8676934650573</v>
      </c>
      <c r="AY18" s="21">
        <f t="shared" si="5"/>
        <v>567677.39575589448</v>
      </c>
      <c r="AZ18">
        <f t="shared" si="6"/>
        <v>1.6219354164454126E-2</v>
      </c>
      <c r="BA18">
        <f t="shared" si="7"/>
        <v>35000000.000000007</v>
      </c>
      <c r="BB18">
        <f t="shared" si="8"/>
        <v>35.000000000000007</v>
      </c>
      <c r="BC18">
        <f t="shared" si="9"/>
        <v>38.036813186813184</v>
      </c>
      <c r="BD18">
        <f t="shared" si="10"/>
        <v>1.7221524744100771</v>
      </c>
      <c r="BE18">
        <f t="shared" si="11"/>
        <v>154.25846013908642</v>
      </c>
      <c r="BF18" s="20">
        <f t="shared" si="12"/>
        <v>232.12813081729723</v>
      </c>
      <c r="BG18" s="22">
        <f t="shared" si="13"/>
        <v>2671931.0358181968</v>
      </c>
      <c r="BH18">
        <f t="shared" si="14"/>
        <v>5.7103189874669891E-2</v>
      </c>
      <c r="BI18">
        <f t="shared" si="15"/>
        <v>1.57679691220819E-2</v>
      </c>
      <c r="BJ18">
        <f t="shared" si="16"/>
        <v>2401260.625765197</v>
      </c>
      <c r="BK18">
        <f t="shared" si="17"/>
        <v>2968938.0215210915</v>
      </c>
      <c r="BL18" s="22">
        <f t="shared" si="18"/>
        <v>0.6731739198076917</v>
      </c>
      <c r="BM18" s="23">
        <f t="shared" si="19"/>
        <v>0.18588428430382642</v>
      </c>
      <c r="BN18" s="24">
        <f t="shared" si="20"/>
        <v>0.14094179588848188</v>
      </c>
      <c r="BO18">
        <f t="shared" si="21"/>
        <v>1</v>
      </c>
    </row>
    <row r="19" spans="2:67" x14ac:dyDescent="0.3">
      <c r="B19" s="25">
        <v>44256</v>
      </c>
      <c r="C19" s="12">
        <v>28688.87</v>
      </c>
      <c r="D19" s="26">
        <v>38246.894</v>
      </c>
      <c r="E19" s="12">
        <v>15780.215</v>
      </c>
      <c r="G19" s="12">
        <v>1683.5809999999999</v>
      </c>
      <c r="I19" s="12">
        <v>29579.597000000002</v>
      </c>
      <c r="L19" s="12">
        <f t="shared" si="22"/>
        <v>113979.15700000001</v>
      </c>
      <c r="M19" s="13">
        <f t="shared" si="27"/>
        <v>1700682.034451426</v>
      </c>
      <c r="N19" s="26">
        <v>206714</v>
      </c>
      <c r="O19" s="12">
        <v>137391</v>
      </c>
      <c r="P19" s="16">
        <v>100759</v>
      </c>
      <c r="R19" s="26">
        <v>68446</v>
      </c>
      <c r="T19" s="26">
        <v>258686</v>
      </c>
      <c r="W19" s="12">
        <f t="shared" si="0"/>
        <v>771996</v>
      </c>
      <c r="X19" s="15">
        <f t="shared" si="1"/>
        <v>14919121</v>
      </c>
      <c r="Y19" s="26">
        <v>215.30614299999999</v>
      </c>
      <c r="Z19" s="26">
        <v>3225.3402529999998</v>
      </c>
      <c r="AA19" s="16">
        <v>3365.829225</v>
      </c>
      <c r="AC19" s="26">
        <v>4097.4965000000002</v>
      </c>
      <c r="AE19" s="26">
        <v>1420.488435</v>
      </c>
      <c r="AH19" s="12">
        <f t="shared" si="2"/>
        <v>12324.460555999998</v>
      </c>
      <c r="AI19" s="17">
        <f t="shared" si="23"/>
        <v>282994.87060899998</v>
      </c>
      <c r="AK19" t="s">
        <v>50</v>
      </c>
      <c r="AL19">
        <v>2217</v>
      </c>
      <c r="AO19">
        <f t="shared" si="24"/>
        <v>17</v>
      </c>
      <c r="AP19" s="48">
        <f t="shared" si="3"/>
        <v>2215.8386</v>
      </c>
      <c r="AQ19" s="48"/>
      <c r="AR19" s="42"/>
      <c r="AS19" s="42"/>
      <c r="AT19" s="42"/>
      <c r="AU19" s="42"/>
      <c r="AV19" s="18">
        <f t="shared" si="25"/>
        <v>7.9049902208581432E-3</v>
      </c>
      <c r="AW19" s="19">
        <f t="shared" si="4"/>
        <v>1.2171031898746698</v>
      </c>
      <c r="AX19" s="20">
        <f t="shared" si="26"/>
        <v>309.79587701039367</v>
      </c>
      <c r="AY19" s="21">
        <f t="shared" si="5"/>
        <v>567677.92478673393</v>
      </c>
      <c r="AZ19">
        <f t="shared" si="6"/>
        <v>1.621936927962097E-2</v>
      </c>
      <c r="BA19">
        <f t="shared" si="7"/>
        <v>35000000</v>
      </c>
      <c r="BB19">
        <f t="shared" si="8"/>
        <v>35</v>
      </c>
      <c r="BC19">
        <f t="shared" si="9"/>
        <v>38.036813186813184</v>
      </c>
      <c r="BD19">
        <f t="shared" si="10"/>
        <v>1.7221524744100771</v>
      </c>
      <c r="BE19">
        <f t="shared" si="11"/>
        <v>154.25846013908642</v>
      </c>
      <c r="BF19" s="20">
        <f t="shared" si="12"/>
        <v>232.12813081729723</v>
      </c>
      <c r="BG19" s="22">
        <f t="shared" si="13"/>
        <v>2829377.9347047745</v>
      </c>
      <c r="BH19">
        <f t="shared" si="14"/>
        <v>5.7103189874669891E-2</v>
      </c>
      <c r="BI19">
        <f t="shared" si="15"/>
        <v>1.57679691220819E-2</v>
      </c>
      <c r="BJ19">
        <f t="shared" si="16"/>
        <v>2546383.0640957747</v>
      </c>
      <c r="BK19">
        <f t="shared" si="17"/>
        <v>3114060.9888825086</v>
      </c>
      <c r="BL19" s="22">
        <f t="shared" si="18"/>
        <v>0.64180234515273726</v>
      </c>
      <c r="BM19" s="23">
        <f t="shared" si="19"/>
        <v>0.17722161551849056</v>
      </c>
      <c r="BN19" s="24">
        <f t="shared" si="20"/>
        <v>0.18097603932877218</v>
      </c>
      <c r="BO19">
        <f t="shared" si="21"/>
        <v>1</v>
      </c>
    </row>
    <row r="20" spans="2:67" x14ac:dyDescent="0.3">
      <c r="B20" s="25">
        <v>44287</v>
      </c>
      <c r="C20" s="12">
        <v>1032.6189999999999</v>
      </c>
      <c r="D20" s="26">
        <v>40242.909</v>
      </c>
      <c r="E20" s="12">
        <v>27765.237000000001</v>
      </c>
      <c r="G20" s="12">
        <v>0</v>
      </c>
      <c r="I20" s="12">
        <v>31057.064999999999</v>
      </c>
      <c r="L20" s="12">
        <f t="shared" si="22"/>
        <v>100097.83</v>
      </c>
      <c r="M20" s="13">
        <f t="shared" si="27"/>
        <v>1800779.8644514261</v>
      </c>
      <c r="N20" s="26">
        <v>7126</v>
      </c>
      <c r="O20" s="12">
        <v>137316</v>
      </c>
      <c r="P20" s="26">
        <v>155717</v>
      </c>
      <c r="R20" s="26">
        <v>0</v>
      </c>
      <c r="T20" s="26">
        <v>273895</v>
      </c>
      <c r="W20" s="12">
        <f t="shared" si="0"/>
        <v>574054</v>
      </c>
      <c r="X20" s="15">
        <f t="shared" si="1"/>
        <v>15493175</v>
      </c>
      <c r="Y20" s="26">
        <v>0</v>
      </c>
      <c r="Z20" s="26">
        <v>1010.273964</v>
      </c>
      <c r="AA20" s="26">
        <v>614.70215399999995</v>
      </c>
      <c r="AC20" s="26">
        <v>0</v>
      </c>
      <c r="AE20" s="26">
        <v>2407.6096440000001</v>
      </c>
      <c r="AH20" s="12">
        <f t="shared" si="2"/>
        <v>4032.5857620000002</v>
      </c>
      <c r="AI20" s="17">
        <f t="shared" si="23"/>
        <v>287027.45637099998</v>
      </c>
      <c r="AK20" t="s">
        <v>51</v>
      </c>
      <c r="AL20">
        <v>666.79</v>
      </c>
      <c r="AO20">
        <f t="shared" si="24"/>
        <v>18</v>
      </c>
      <c r="AP20" s="48">
        <f t="shared" si="3"/>
        <v>2215.7644</v>
      </c>
      <c r="AQ20" s="48"/>
      <c r="AR20" s="42"/>
      <c r="AS20" s="42"/>
      <c r="AT20" s="42"/>
      <c r="AU20" s="42"/>
      <c r="AV20" s="18">
        <f t="shared" si="25"/>
        <v>7.9052549377542115E-3</v>
      </c>
      <c r="AW20" s="19">
        <f t="shared" si="4"/>
        <v>1.2171031898746698</v>
      </c>
      <c r="AX20" s="20">
        <f t="shared" si="26"/>
        <v>303.8332657829751</v>
      </c>
      <c r="AY20" s="21">
        <f t="shared" si="5"/>
        <v>567678.45385300508</v>
      </c>
      <c r="AZ20">
        <f t="shared" si="6"/>
        <v>1.6219384395800149E-2</v>
      </c>
      <c r="BA20">
        <f t="shared" si="7"/>
        <v>34999999.999999993</v>
      </c>
      <c r="BB20">
        <f t="shared" si="8"/>
        <v>34.999999999999993</v>
      </c>
      <c r="BC20">
        <f t="shared" si="9"/>
        <v>38.036813186813184</v>
      </c>
      <c r="BD20">
        <f t="shared" si="10"/>
        <v>1.7221524744100771</v>
      </c>
      <c r="BE20">
        <f t="shared" si="11"/>
        <v>154.25846013908642</v>
      </c>
      <c r="BF20" s="20">
        <f t="shared" si="12"/>
        <v>232.12813081729723</v>
      </c>
      <c r="BG20" s="22">
        <f t="shared" si="13"/>
        <v>2931851.2539684661</v>
      </c>
      <c r="BH20">
        <f t="shared" si="14"/>
        <v>5.7103189874669891E-2</v>
      </c>
      <c r="BI20">
        <f t="shared" si="15"/>
        <v>1.57679691220819E-2</v>
      </c>
      <c r="BJ20">
        <f t="shared" si="16"/>
        <v>2644823.797597466</v>
      </c>
      <c r="BK20">
        <f t="shared" si="17"/>
        <v>3212502.2514504711</v>
      </c>
      <c r="BL20" s="22">
        <f t="shared" si="18"/>
        <v>0.62213548479570924</v>
      </c>
      <c r="BM20" s="23">
        <f t="shared" si="19"/>
        <v>0.17179098287750261</v>
      </c>
      <c r="BN20" s="24">
        <f t="shared" si="20"/>
        <v>0.20607353232678816</v>
      </c>
      <c r="BO20">
        <f t="shared" si="21"/>
        <v>1</v>
      </c>
    </row>
    <row r="21" spans="2:67" x14ac:dyDescent="0.3">
      <c r="B21" s="25">
        <v>44317</v>
      </c>
      <c r="C21" s="12">
        <v>29092.686000000002</v>
      </c>
      <c r="D21" s="26">
        <v>40626.767</v>
      </c>
      <c r="E21" s="12">
        <v>28641.342000000001</v>
      </c>
      <c r="G21" s="12">
        <v>0</v>
      </c>
      <c r="I21" s="12">
        <v>26247.487000000001</v>
      </c>
      <c r="L21" s="12">
        <f t="shared" si="22"/>
        <v>124608.28200000001</v>
      </c>
      <c r="M21" s="13">
        <f t="shared" si="27"/>
        <v>1925388.1464514262</v>
      </c>
      <c r="N21" s="26">
        <v>272123</v>
      </c>
      <c r="O21" s="12">
        <v>137360</v>
      </c>
      <c r="P21" s="26">
        <v>162483</v>
      </c>
      <c r="R21" s="26">
        <v>0</v>
      </c>
      <c r="T21" s="26">
        <v>247009</v>
      </c>
      <c r="W21" s="12">
        <f t="shared" si="0"/>
        <v>818975</v>
      </c>
      <c r="X21" s="15">
        <f t="shared" si="1"/>
        <v>16312150</v>
      </c>
      <c r="Y21" s="26">
        <v>930.88411099999996</v>
      </c>
      <c r="Z21" s="26">
        <v>419.93849699999998</v>
      </c>
      <c r="AA21" s="26">
        <v>272.00869</v>
      </c>
      <c r="AC21" s="26">
        <v>0</v>
      </c>
      <c r="AE21" s="26">
        <v>1316.1154899999999</v>
      </c>
      <c r="AH21" s="12">
        <f t="shared" si="2"/>
        <v>2938.9467880000002</v>
      </c>
      <c r="AI21" s="17">
        <f t="shared" si="23"/>
        <v>289966.40315899998</v>
      </c>
      <c r="AO21">
        <f t="shared" si="24"/>
        <v>19</v>
      </c>
      <c r="AP21" s="48">
        <f t="shared" si="3"/>
        <v>2215.6902</v>
      </c>
      <c r="AQ21" s="48"/>
      <c r="AR21" s="42"/>
      <c r="AS21" s="42"/>
      <c r="AT21" s="42"/>
      <c r="AU21" s="42"/>
      <c r="AV21" s="18">
        <f t="shared" si="25"/>
        <v>7.9055196723801912E-3</v>
      </c>
      <c r="AW21" s="19">
        <f t="shared" si="4"/>
        <v>1.2171031898746698</v>
      </c>
      <c r="AX21" s="20">
        <f t="shared" si="26"/>
        <v>299.19093698935518</v>
      </c>
      <c r="AY21" s="21">
        <f t="shared" si="5"/>
        <v>567678.98295471165</v>
      </c>
      <c r="AZ21">
        <f t="shared" si="6"/>
        <v>1.6219399512991763E-2</v>
      </c>
      <c r="BA21">
        <f t="shared" si="7"/>
        <v>35000000</v>
      </c>
      <c r="BB21">
        <f t="shared" si="8"/>
        <v>35</v>
      </c>
      <c r="BC21">
        <f t="shared" si="9"/>
        <v>38.036813186813184</v>
      </c>
      <c r="BD21">
        <f t="shared" si="10"/>
        <v>1.7221524744100771</v>
      </c>
      <c r="BE21">
        <f t="shared" si="11"/>
        <v>154.25846013908642</v>
      </c>
      <c r="BF21" s="20">
        <f t="shared" si="12"/>
        <v>232.12813081729723</v>
      </c>
      <c r="BG21" s="22">
        <f t="shared" si="13"/>
        <v>3086459.449123783</v>
      </c>
      <c r="BH21">
        <f t="shared" si="14"/>
        <v>5.7103189874669891E-2</v>
      </c>
      <c r="BI21">
        <f t="shared" si="15"/>
        <v>1.57679691220819E-2</v>
      </c>
      <c r="BJ21">
        <f t="shared" si="16"/>
        <v>2796493.0459647831</v>
      </c>
      <c r="BK21">
        <f t="shared" si="17"/>
        <v>3364172.0289194947</v>
      </c>
      <c r="BL21" s="22">
        <f t="shared" si="18"/>
        <v>0.59408723110255468</v>
      </c>
      <c r="BM21" s="23">
        <f t="shared" si="19"/>
        <v>0.16404598650982749</v>
      </c>
      <c r="BN21" s="24">
        <f t="shared" si="20"/>
        <v>0.24186678238761783</v>
      </c>
      <c r="BO21">
        <f t="shared" si="21"/>
        <v>1</v>
      </c>
    </row>
    <row r="22" spans="2:67" x14ac:dyDescent="0.3">
      <c r="B22" s="25">
        <v>44348</v>
      </c>
      <c r="C22" s="12">
        <v>29135.82</v>
      </c>
      <c r="D22" s="26">
        <v>40964.671999999999</v>
      </c>
      <c r="E22" s="12">
        <v>28899.748</v>
      </c>
      <c r="G22" s="12">
        <v>0</v>
      </c>
      <c r="I22" s="12">
        <v>26099.837</v>
      </c>
      <c r="L22" s="12">
        <f t="shared" si="22"/>
        <v>125100.07699999999</v>
      </c>
      <c r="M22" s="13">
        <f t="shared" si="27"/>
        <v>2050488.2234514263</v>
      </c>
      <c r="N22" s="26">
        <v>285979</v>
      </c>
      <c r="O22" s="12">
        <v>142838</v>
      </c>
      <c r="P22" s="26">
        <v>169192</v>
      </c>
      <c r="R22" s="26">
        <v>0</v>
      </c>
      <c r="T22" s="26">
        <v>254709</v>
      </c>
      <c r="W22" s="12">
        <f t="shared" si="0"/>
        <v>852718</v>
      </c>
      <c r="X22" s="15">
        <f t="shared" si="1"/>
        <v>17164868</v>
      </c>
      <c r="Y22" s="26">
        <v>1847.515533</v>
      </c>
      <c r="Z22" s="26">
        <v>833.44882099999995</v>
      </c>
      <c r="AA22" s="26">
        <v>539.85353499999997</v>
      </c>
      <c r="AC22" s="26">
        <v>0</v>
      </c>
      <c r="AE22" s="26">
        <v>2612.047012</v>
      </c>
      <c r="AH22" s="12">
        <f t="shared" si="2"/>
        <v>5832.8649009999999</v>
      </c>
      <c r="AI22" s="17">
        <f t="shared" si="23"/>
        <v>295799.26805999997</v>
      </c>
      <c r="AK22" t="s">
        <v>52</v>
      </c>
      <c r="AL22" s="21">
        <v>3.0000000000000001E-6</v>
      </c>
      <c r="AM22" s="21"/>
      <c r="AO22">
        <f t="shared" si="24"/>
        <v>20</v>
      </c>
      <c r="AP22" s="48">
        <f t="shared" si="3"/>
        <v>2215.616</v>
      </c>
      <c r="AQ22" s="48"/>
      <c r="AR22" s="42"/>
      <c r="AS22" s="42"/>
      <c r="AT22" s="42"/>
      <c r="AU22" s="42"/>
      <c r="AV22" s="18">
        <f t="shared" si="25"/>
        <v>7.9057844247378602E-3</v>
      </c>
      <c r="AW22" s="19">
        <f t="shared" si="4"/>
        <v>1.2171031898746698</v>
      </c>
      <c r="AX22" s="20">
        <f t="shared" si="26"/>
        <v>295.62333351970096</v>
      </c>
      <c r="AY22" s="21">
        <f t="shared" si="5"/>
        <v>567679.51209185692</v>
      </c>
      <c r="AZ22">
        <f t="shared" si="6"/>
        <v>1.6219414631195913E-2</v>
      </c>
      <c r="BA22">
        <f t="shared" si="7"/>
        <v>35000000</v>
      </c>
      <c r="BB22">
        <f t="shared" si="8"/>
        <v>35</v>
      </c>
      <c r="BC22">
        <f t="shared" si="9"/>
        <v>38.036813186813184</v>
      </c>
      <c r="BD22">
        <f t="shared" si="10"/>
        <v>1.7221524744100771</v>
      </c>
      <c r="BE22">
        <f t="shared" si="11"/>
        <v>154.25846013908642</v>
      </c>
      <c r="BF22" s="20">
        <f t="shared" si="12"/>
        <v>232.12813081729723</v>
      </c>
      <c r="BG22" s="22">
        <f t="shared" si="13"/>
        <v>3253078.3300079838</v>
      </c>
      <c r="BH22">
        <f t="shared" si="14"/>
        <v>5.7103189874669891E-2</v>
      </c>
      <c r="BI22">
        <f t="shared" si="15"/>
        <v>1.57679691220819E-2</v>
      </c>
      <c r="BJ22">
        <f t="shared" si="16"/>
        <v>2957279.0619479837</v>
      </c>
      <c r="BK22">
        <f t="shared" si="17"/>
        <v>3524958.5740398406</v>
      </c>
      <c r="BL22" s="22">
        <f t="shared" si="18"/>
        <v>0.56698869040123279</v>
      </c>
      <c r="BM22" s="23">
        <f t="shared" si="19"/>
        <v>0.15656323547665865</v>
      </c>
      <c r="BN22" s="24">
        <f t="shared" si="20"/>
        <v>0.27644807412210859</v>
      </c>
      <c r="BO22">
        <f t="shared" si="21"/>
        <v>1</v>
      </c>
    </row>
    <row r="23" spans="2:67" x14ac:dyDescent="0.3">
      <c r="B23" s="25">
        <v>44378</v>
      </c>
      <c r="C23" s="12">
        <v>28882.33</v>
      </c>
      <c r="D23" s="26">
        <v>40608.267</v>
      </c>
      <c r="E23" s="12">
        <v>28648.315999999999</v>
      </c>
      <c r="G23" s="12">
        <v>0</v>
      </c>
      <c r="I23" s="12">
        <v>25872.762999999999</v>
      </c>
      <c r="L23" s="12">
        <f t="shared" si="22"/>
        <v>124011.67600000001</v>
      </c>
      <c r="M23" s="13">
        <f t="shared" si="27"/>
        <v>2174499.8994514262</v>
      </c>
      <c r="N23" s="26">
        <v>293420</v>
      </c>
      <c r="O23" s="12">
        <v>146558</v>
      </c>
      <c r="P23" s="26">
        <v>173601</v>
      </c>
      <c r="R23" s="26">
        <v>0</v>
      </c>
      <c r="T23" s="26">
        <v>261357</v>
      </c>
      <c r="W23" s="12">
        <f t="shared" si="0"/>
        <v>874936</v>
      </c>
      <c r="X23" s="15">
        <f t="shared" si="1"/>
        <v>18039804</v>
      </c>
      <c r="Y23" s="26">
        <v>3009.9963680000001</v>
      </c>
      <c r="Z23" s="26">
        <v>1357.8671870000001</v>
      </c>
      <c r="AA23" s="26">
        <v>879.50902499999995</v>
      </c>
      <c r="AC23" s="26">
        <v>0</v>
      </c>
      <c r="AE23" s="26">
        <v>4255.6032029999997</v>
      </c>
      <c r="AH23" s="12">
        <f t="shared" si="2"/>
        <v>9502.9757829999999</v>
      </c>
      <c r="AI23" s="17">
        <f t="shared" si="23"/>
        <v>305302.24384299997</v>
      </c>
      <c r="AK23" t="s">
        <v>53</v>
      </c>
      <c r="AL23" s="21">
        <v>3.0000000000000001E-6</v>
      </c>
      <c r="AO23">
        <f t="shared" si="24"/>
        <v>21</v>
      </c>
      <c r="AP23" s="48">
        <f t="shared" si="3"/>
        <v>2215.5418</v>
      </c>
      <c r="AQ23" s="48"/>
      <c r="AR23" s="42"/>
      <c r="AS23" s="42"/>
      <c r="AT23" s="42"/>
      <c r="AU23" s="42"/>
      <c r="AV23" s="18">
        <f t="shared" si="25"/>
        <v>7.9060491948290037E-3</v>
      </c>
      <c r="AW23" s="19">
        <f t="shared" si="4"/>
        <v>1.2171031898746698</v>
      </c>
      <c r="AX23" s="20">
        <f t="shared" si="26"/>
        <v>292.97323328435999</v>
      </c>
      <c r="AY23" s="21">
        <f t="shared" si="5"/>
        <v>567680.04126444459</v>
      </c>
      <c r="AZ23">
        <f t="shared" si="6"/>
        <v>1.6219429750412701E-2</v>
      </c>
      <c r="BA23">
        <f t="shared" si="7"/>
        <v>35000000</v>
      </c>
      <c r="BB23">
        <f t="shared" si="8"/>
        <v>35</v>
      </c>
      <c r="BC23">
        <f t="shared" si="9"/>
        <v>38.036813186813184</v>
      </c>
      <c r="BD23">
        <f t="shared" si="10"/>
        <v>1.7221524744100771</v>
      </c>
      <c r="BE23">
        <f t="shared" si="11"/>
        <v>154.25846013908642</v>
      </c>
      <c r="BF23" s="20">
        <f t="shared" si="12"/>
        <v>232.12813081729723</v>
      </c>
      <c r="BG23" s="22">
        <f t="shared" si="13"/>
        <v>3430243.9081056211</v>
      </c>
      <c r="BH23">
        <f t="shared" si="14"/>
        <v>5.7103189874669891E-2</v>
      </c>
      <c r="BI23">
        <f t="shared" si="15"/>
        <v>1.57679691220819E-2</v>
      </c>
      <c r="BJ23">
        <f t="shared" si="16"/>
        <v>3124941.6642626212</v>
      </c>
      <c r="BK23">
        <f t="shared" si="17"/>
        <v>3692621.7055270658</v>
      </c>
      <c r="BL23" s="22">
        <f t="shared" si="18"/>
        <v>0.54124462373764193</v>
      </c>
      <c r="BM23" s="23">
        <f t="shared" si="19"/>
        <v>0.14945449690847606</v>
      </c>
      <c r="BN23" s="24">
        <f t="shared" si="20"/>
        <v>0.30930087935388201</v>
      </c>
      <c r="BO23">
        <f t="shared" si="21"/>
        <v>1</v>
      </c>
    </row>
    <row r="24" spans="2:67" x14ac:dyDescent="0.3">
      <c r="B24" s="25">
        <v>44409</v>
      </c>
      <c r="C24" s="12">
        <v>28749.013999999999</v>
      </c>
      <c r="D24" s="26">
        <v>41389.373</v>
      </c>
      <c r="E24" s="12">
        <v>29304.605</v>
      </c>
      <c r="G24" s="12">
        <v>0</v>
      </c>
      <c r="I24" s="12">
        <v>26938.2</v>
      </c>
      <c r="L24" s="12">
        <f t="shared" si="22"/>
        <v>126381.192</v>
      </c>
      <c r="M24" s="13">
        <f t="shared" si="27"/>
        <v>2300881.091451426</v>
      </c>
      <c r="N24" s="26">
        <v>294492</v>
      </c>
      <c r="O24" s="12">
        <v>149946</v>
      </c>
      <c r="P24" s="26">
        <v>174663</v>
      </c>
      <c r="R24" s="26">
        <v>0</v>
      </c>
      <c r="T24" s="26">
        <v>269364</v>
      </c>
      <c r="W24" s="12">
        <f t="shared" si="0"/>
        <v>888465</v>
      </c>
      <c r="X24" s="15">
        <f t="shared" si="1"/>
        <v>18928269</v>
      </c>
      <c r="Y24" s="26">
        <v>2475.7218889999999</v>
      </c>
      <c r="Z24" s="26">
        <v>1144.051721</v>
      </c>
      <c r="AA24" s="26">
        <v>743.63047700000004</v>
      </c>
      <c r="AC24" s="26">
        <v>0</v>
      </c>
      <c r="AE24" s="26">
        <v>3663.1669400000001</v>
      </c>
      <c r="AH24" s="12">
        <f t="shared" si="2"/>
        <v>8026.571027</v>
      </c>
      <c r="AI24" s="17">
        <f t="shared" si="23"/>
        <v>313328.81487</v>
      </c>
      <c r="AO24">
        <f t="shared" si="24"/>
        <v>22</v>
      </c>
      <c r="AP24" s="48">
        <f t="shared" si="3"/>
        <v>2215.4675999999999</v>
      </c>
      <c r="AQ24" s="48"/>
      <c r="AR24" s="42"/>
      <c r="AS24" s="42"/>
      <c r="AT24" s="42"/>
      <c r="AU24" s="42"/>
      <c r="AV24" s="18">
        <f t="shared" si="25"/>
        <v>7.9063139826553996E-3</v>
      </c>
      <c r="AW24" s="19">
        <f t="shared" si="4"/>
        <v>1.2171031898746698</v>
      </c>
      <c r="AX24" s="20">
        <f t="shared" si="26"/>
        <v>290.51746469550733</v>
      </c>
      <c r="AY24" s="21">
        <f t="shared" si="5"/>
        <v>567680.57047247794</v>
      </c>
      <c r="AZ24">
        <f t="shared" si="6"/>
        <v>1.6219444870642228E-2</v>
      </c>
      <c r="BA24">
        <f t="shared" si="7"/>
        <v>35000000</v>
      </c>
      <c r="BB24">
        <f t="shared" si="8"/>
        <v>35</v>
      </c>
      <c r="BC24">
        <f t="shared" si="9"/>
        <v>38.036813186813184</v>
      </c>
      <c r="BD24">
        <f t="shared" si="10"/>
        <v>1.7221524744100771</v>
      </c>
      <c r="BE24">
        <f t="shared" si="11"/>
        <v>154.25846013908642</v>
      </c>
      <c r="BF24" s="20">
        <f t="shared" si="12"/>
        <v>232.12813081729723</v>
      </c>
      <c r="BG24" s="22">
        <f t="shared" si="13"/>
        <v>3608246.8470880869</v>
      </c>
      <c r="BH24">
        <f t="shared" si="14"/>
        <v>5.7103189874669891E-2</v>
      </c>
      <c r="BI24">
        <f t="shared" si="15"/>
        <v>1.57679691220819E-2</v>
      </c>
      <c r="BJ24">
        <f t="shared" si="16"/>
        <v>3294918.032218087</v>
      </c>
      <c r="BK24">
        <f t="shared" si="17"/>
        <v>3862598.6026905649</v>
      </c>
      <c r="BL24" s="22">
        <f t="shared" si="18"/>
        <v>0.51742669927475149</v>
      </c>
      <c r="BM24" s="23">
        <f t="shared" si="19"/>
        <v>0.14287762618886801</v>
      </c>
      <c r="BN24" s="24">
        <f t="shared" si="20"/>
        <v>0.3396956745363805</v>
      </c>
      <c r="BO24">
        <f t="shared" si="21"/>
        <v>1</v>
      </c>
    </row>
    <row r="25" spans="2:67" x14ac:dyDescent="0.3">
      <c r="B25" s="25">
        <v>44440</v>
      </c>
      <c r="C25" s="12">
        <v>27207.031999999999</v>
      </c>
      <c r="D25" s="26">
        <v>39400.175999999999</v>
      </c>
      <c r="E25" s="12">
        <v>27734.237000000001</v>
      </c>
      <c r="G25" s="12">
        <v>0</v>
      </c>
      <c r="I25" s="12">
        <v>25653.666000000001</v>
      </c>
      <c r="L25" s="12">
        <f t="shared" si="22"/>
        <v>119995.111</v>
      </c>
      <c r="M25" s="13">
        <f t="shared" si="27"/>
        <v>2420876.2024514261</v>
      </c>
      <c r="N25" s="26">
        <v>284030</v>
      </c>
      <c r="O25" s="12">
        <v>145286</v>
      </c>
      <c r="P25" s="26">
        <v>167592</v>
      </c>
      <c r="R25" s="26">
        <v>0</v>
      </c>
      <c r="T25" s="26">
        <v>260159</v>
      </c>
      <c r="W25" s="12">
        <f t="shared" si="0"/>
        <v>857067</v>
      </c>
      <c r="X25" s="15">
        <f t="shared" si="1"/>
        <v>19785336</v>
      </c>
      <c r="Y25" s="26">
        <v>3104.6326989999998</v>
      </c>
      <c r="Z25" s="26">
        <v>1442.641108</v>
      </c>
      <c r="AA25" s="26">
        <v>933.78370600000005</v>
      </c>
      <c r="AC25" s="26">
        <v>0</v>
      </c>
      <c r="AE25" s="26">
        <v>4620.1222690000004</v>
      </c>
      <c r="AH25" s="12">
        <f t="shared" si="2"/>
        <v>10101.179781999999</v>
      </c>
      <c r="AI25" s="17">
        <f t="shared" si="23"/>
        <v>323429.99465200002</v>
      </c>
      <c r="AK25" t="s">
        <v>54</v>
      </c>
      <c r="AL25">
        <v>0.44</v>
      </c>
      <c r="AO25">
        <f t="shared" si="24"/>
        <v>23</v>
      </c>
      <c r="AP25" s="48">
        <f t="shared" si="3"/>
        <v>2215.3933999999999</v>
      </c>
      <c r="AQ25" s="48"/>
      <c r="AR25" s="42"/>
      <c r="AS25" s="42"/>
      <c r="AT25" s="42"/>
      <c r="AU25" s="42"/>
      <c r="AV25" s="18">
        <f t="shared" si="25"/>
        <v>7.9065787882188331E-3</v>
      </c>
      <c r="AW25" s="19">
        <f t="shared" si="4"/>
        <v>1.2171031898746698</v>
      </c>
      <c r="AX25" s="20">
        <f t="shared" si="26"/>
        <v>288.61996517280375</v>
      </c>
      <c r="AY25" s="21">
        <f t="shared" si="5"/>
        <v>567681.09971596114</v>
      </c>
      <c r="AZ25">
        <f t="shared" si="6"/>
        <v>1.6219459991884597E-2</v>
      </c>
      <c r="BA25">
        <f t="shared" si="7"/>
        <v>35000000.000000015</v>
      </c>
      <c r="BB25">
        <f t="shared" si="8"/>
        <v>35.000000000000014</v>
      </c>
      <c r="BC25">
        <f t="shared" si="9"/>
        <v>38.036813186813184</v>
      </c>
      <c r="BD25">
        <f t="shared" si="10"/>
        <v>1.7221524744100771</v>
      </c>
      <c r="BE25">
        <f t="shared" si="11"/>
        <v>154.25846013908642</v>
      </c>
      <c r="BF25" s="20">
        <f t="shared" si="12"/>
        <v>232.12813081729723</v>
      </c>
      <c r="BG25" s="22">
        <f t="shared" si="13"/>
        <v>3783506.6822309047</v>
      </c>
      <c r="BH25">
        <f t="shared" si="14"/>
        <v>5.7103189874669891E-2</v>
      </c>
      <c r="BI25">
        <f t="shared" si="15"/>
        <v>1.57679691220819E-2</v>
      </c>
      <c r="BJ25">
        <f t="shared" si="16"/>
        <v>3460076.6875789044</v>
      </c>
      <c r="BK25">
        <f t="shared" si="17"/>
        <v>4027757.7872948656</v>
      </c>
      <c r="BL25" s="22">
        <f t="shared" si="18"/>
        <v>0.49620949202006498</v>
      </c>
      <c r="BM25" s="23">
        <f t="shared" si="19"/>
        <v>0.13701889448608601</v>
      </c>
      <c r="BN25" s="24">
        <f t="shared" si="20"/>
        <v>0.36677161349384896</v>
      </c>
      <c r="BO25">
        <f t="shared" si="21"/>
        <v>1</v>
      </c>
    </row>
    <row r="26" spans="2:67" x14ac:dyDescent="0.3">
      <c r="B26" s="25">
        <v>44470</v>
      </c>
      <c r="C26" s="12">
        <v>25996.170999999998</v>
      </c>
      <c r="D26" s="26">
        <v>40527.324999999997</v>
      </c>
      <c r="E26" s="12">
        <v>28120.734</v>
      </c>
      <c r="G26" s="12">
        <v>0</v>
      </c>
      <c r="I26" s="12">
        <v>25514.120999999999</v>
      </c>
      <c r="L26" s="12">
        <f t="shared" si="22"/>
        <v>120158.351</v>
      </c>
      <c r="M26" s="13">
        <f t="shared" si="27"/>
        <v>2541034.5534514259</v>
      </c>
      <c r="N26" s="26">
        <v>315759</v>
      </c>
      <c r="O26" s="12">
        <v>157717</v>
      </c>
      <c r="P26" s="26">
        <v>186810</v>
      </c>
      <c r="R26" s="26">
        <v>0</v>
      </c>
      <c r="T26" s="26">
        <v>281250</v>
      </c>
      <c r="W26" s="12">
        <f t="shared" si="0"/>
        <v>941536</v>
      </c>
      <c r="X26" s="15">
        <f t="shared" si="1"/>
        <v>20726872</v>
      </c>
      <c r="Y26" s="26">
        <v>11142.349253</v>
      </c>
      <c r="Z26" s="26">
        <v>1418.8530840000001</v>
      </c>
      <c r="AA26" s="26">
        <v>332.95685300000002</v>
      </c>
      <c r="AC26" s="26">
        <v>0</v>
      </c>
      <c r="AE26" s="26">
        <v>11744.886930000001</v>
      </c>
      <c r="AH26" s="12">
        <f t="shared" si="2"/>
        <v>24639.046119999999</v>
      </c>
      <c r="AI26" s="17">
        <f t="shared" si="23"/>
        <v>348069.04077200004</v>
      </c>
      <c r="AO26">
        <f t="shared" si="24"/>
        <v>24</v>
      </c>
      <c r="AP26" s="48">
        <f t="shared" si="3"/>
        <v>2215.3191999999999</v>
      </c>
      <c r="AQ26" s="48"/>
      <c r="AR26" s="42"/>
      <c r="AS26" s="42"/>
      <c r="AT26" s="42"/>
      <c r="AU26" s="42"/>
      <c r="AV26" s="18">
        <f t="shared" si="25"/>
        <v>7.9068436115210857E-3</v>
      </c>
      <c r="AW26" s="19">
        <f t="shared" si="4"/>
        <v>1.2171031898746698</v>
      </c>
      <c r="AX26" s="20">
        <f t="shared" si="26"/>
        <v>288.05718742556729</v>
      </c>
      <c r="AY26" s="21">
        <f t="shared" si="5"/>
        <v>567681.62899489654</v>
      </c>
      <c r="AZ26">
        <f t="shared" si="6"/>
        <v>1.621947511413991E-2</v>
      </c>
      <c r="BA26">
        <f t="shared" si="7"/>
        <v>34999999.999999978</v>
      </c>
      <c r="BB26">
        <f t="shared" si="8"/>
        <v>34.999999999999979</v>
      </c>
      <c r="BC26">
        <f t="shared" si="9"/>
        <v>38.036813186813184</v>
      </c>
      <c r="BD26">
        <f t="shared" si="10"/>
        <v>1.7221524744100771</v>
      </c>
      <c r="BE26">
        <f t="shared" si="11"/>
        <v>154.25846013908642</v>
      </c>
      <c r="BF26" s="20">
        <f t="shared" si="12"/>
        <v>232.12813081729723</v>
      </c>
      <c r="BG26" s="22">
        <f t="shared" si="13"/>
        <v>3996790.8269868437</v>
      </c>
      <c r="BH26">
        <f t="shared" si="14"/>
        <v>5.7103189874669891E-2</v>
      </c>
      <c r="BI26">
        <f t="shared" si="15"/>
        <v>1.57679691220819E-2</v>
      </c>
      <c r="BJ26">
        <f t="shared" si="16"/>
        <v>3648721.7862148439</v>
      </c>
      <c r="BK26">
        <f t="shared" si="17"/>
        <v>4216403.4152097404</v>
      </c>
      <c r="BL26" s="22">
        <f t="shared" si="18"/>
        <v>0.47400863930711606</v>
      </c>
      <c r="BM26" s="23">
        <f t="shared" si="19"/>
        <v>0.13088854763803806</v>
      </c>
      <c r="BN26" s="24">
        <f t="shared" si="20"/>
        <v>0.39510281305484585</v>
      </c>
      <c r="BO26">
        <f t="shared" si="21"/>
        <v>1</v>
      </c>
    </row>
    <row r="27" spans="2:67" x14ac:dyDescent="0.3">
      <c r="B27" s="25">
        <v>44501</v>
      </c>
      <c r="C27" s="12">
        <v>25775.866000000002</v>
      </c>
      <c r="D27" s="26">
        <v>40359.733999999997</v>
      </c>
      <c r="E27" s="12">
        <v>28040.663</v>
      </c>
      <c r="G27" s="12">
        <v>0</v>
      </c>
      <c r="I27" s="12">
        <v>25307.219000000001</v>
      </c>
      <c r="L27" s="12">
        <f t="shared" si="22"/>
        <v>119483.482</v>
      </c>
      <c r="M27" s="13">
        <f t="shared" si="27"/>
        <v>2660518.0354514257</v>
      </c>
      <c r="N27" s="26">
        <v>219079</v>
      </c>
      <c r="O27" s="12">
        <v>138342</v>
      </c>
      <c r="P27" s="26">
        <v>163868</v>
      </c>
      <c r="R27" s="26">
        <v>0</v>
      </c>
      <c r="T27" s="26">
        <v>228354</v>
      </c>
      <c r="W27" s="12">
        <f t="shared" si="0"/>
        <v>749643</v>
      </c>
      <c r="X27" s="15">
        <f t="shared" si="1"/>
        <v>21476515</v>
      </c>
      <c r="Y27" s="26">
        <v>15360.219940000001</v>
      </c>
      <c r="Z27" s="26">
        <v>1533.8935280000001</v>
      </c>
      <c r="AA27" s="26">
        <v>267.09635800000001</v>
      </c>
      <c r="AC27" s="26">
        <v>0</v>
      </c>
      <c r="AE27" s="26">
        <v>13822.319815999999</v>
      </c>
      <c r="AH27" s="12">
        <f t="shared" si="2"/>
        <v>30983.529641999998</v>
      </c>
      <c r="AI27" s="17">
        <f t="shared" si="23"/>
        <v>379052.57041400002</v>
      </c>
      <c r="AK27" t="s">
        <v>55</v>
      </c>
      <c r="AL27">
        <f>1 - $AL$25</f>
        <v>0.56000000000000005</v>
      </c>
      <c r="AO27">
        <f t="shared" si="24"/>
        <v>25</v>
      </c>
      <c r="AP27" s="48">
        <f t="shared" si="3"/>
        <v>2215.2449999999999</v>
      </c>
      <c r="AQ27" s="48"/>
      <c r="AR27" s="42"/>
      <c r="AS27" s="42"/>
      <c r="AT27" s="42"/>
      <c r="AU27" s="42"/>
      <c r="AV27" s="18">
        <f t="shared" si="25"/>
        <v>7.9071084525639372E-3</v>
      </c>
      <c r="AW27" s="19">
        <f t="shared" si="4"/>
        <v>1.2171031898746698</v>
      </c>
      <c r="AX27" s="20">
        <f t="shared" si="26"/>
        <v>285.07105539760482</v>
      </c>
      <c r="AY27" s="21">
        <f t="shared" si="5"/>
        <v>567682.15830928925</v>
      </c>
      <c r="AZ27">
        <f t="shared" si="6"/>
        <v>1.6219490237408266E-2</v>
      </c>
      <c r="BA27">
        <f t="shared" si="7"/>
        <v>34999999.999999993</v>
      </c>
      <c r="BB27">
        <f t="shared" si="8"/>
        <v>34.999999999999993</v>
      </c>
      <c r="BC27">
        <f t="shared" si="9"/>
        <v>38.036813186813184</v>
      </c>
      <c r="BD27">
        <f t="shared" si="10"/>
        <v>1.7221524744100771</v>
      </c>
      <c r="BE27">
        <f t="shared" si="11"/>
        <v>154.25846013908642</v>
      </c>
      <c r="BF27" s="20">
        <f t="shared" si="12"/>
        <v>232.12813081729723</v>
      </c>
      <c r="BG27" s="22">
        <f t="shared" si="13"/>
        <v>4163255.9501572596</v>
      </c>
      <c r="BH27">
        <f t="shared" si="14"/>
        <v>5.7103189874669891E-2</v>
      </c>
      <c r="BI27">
        <f t="shared" si="15"/>
        <v>1.57679691220819E-2</v>
      </c>
      <c r="BJ27">
        <f t="shared" si="16"/>
        <v>3784203.3797432594</v>
      </c>
      <c r="BK27">
        <f t="shared" si="17"/>
        <v>4351885.5380525487</v>
      </c>
      <c r="BL27" s="22">
        <f t="shared" si="18"/>
        <v>0.45925188705854997</v>
      </c>
      <c r="BM27" s="23">
        <f t="shared" si="19"/>
        <v>0.12681374876413457</v>
      </c>
      <c r="BN27" s="24">
        <f t="shared" si="20"/>
        <v>0.41393436417731544</v>
      </c>
      <c r="BO27">
        <f t="shared" si="21"/>
        <v>1</v>
      </c>
    </row>
    <row r="28" spans="2:67" x14ac:dyDescent="0.3">
      <c r="B28" s="25">
        <v>44531</v>
      </c>
      <c r="C28" s="12">
        <v>26567.91</v>
      </c>
      <c r="D28" s="26">
        <v>41588.97</v>
      </c>
      <c r="E28" s="12">
        <v>28660.763999999999</v>
      </c>
      <c r="G28" s="12">
        <v>0</v>
      </c>
      <c r="I28" s="12">
        <v>25417.873</v>
      </c>
      <c r="L28" s="12">
        <f t="shared" si="22"/>
        <v>122235.51699999999</v>
      </c>
      <c r="M28" s="13">
        <f t="shared" si="27"/>
        <v>2782753.5524514257</v>
      </c>
      <c r="N28" s="26">
        <v>203475</v>
      </c>
      <c r="O28" s="12">
        <v>147604</v>
      </c>
      <c r="P28" s="26">
        <v>174729</v>
      </c>
      <c r="R28" s="26">
        <v>0</v>
      </c>
      <c r="T28" s="26">
        <v>232888</v>
      </c>
      <c r="W28" s="12">
        <f t="shared" si="0"/>
        <v>758696</v>
      </c>
      <c r="X28" s="15">
        <f t="shared" si="1"/>
        <v>22235211</v>
      </c>
      <c r="Y28" s="26">
        <v>15929.019136000001</v>
      </c>
      <c r="Z28" s="26">
        <v>1479.625131</v>
      </c>
      <c r="AA28" s="26">
        <v>212.771356</v>
      </c>
      <c r="AC28" s="26">
        <v>0</v>
      </c>
      <c r="AE28" s="26">
        <v>14301.935933999999</v>
      </c>
      <c r="AH28" s="12">
        <f t="shared" si="2"/>
        <v>31923.351557000002</v>
      </c>
      <c r="AI28" s="17">
        <f t="shared" si="23"/>
        <v>410975.92197100003</v>
      </c>
      <c r="AO28">
        <f t="shared" si="24"/>
        <v>26</v>
      </c>
      <c r="AP28" s="48">
        <f t="shared" si="3"/>
        <v>2215.1707999999999</v>
      </c>
      <c r="AQ28" s="48"/>
      <c r="AR28" s="42"/>
      <c r="AS28" s="42"/>
      <c r="AT28" s="42"/>
      <c r="AU28" s="42"/>
      <c r="AV28" s="18">
        <f t="shared" si="25"/>
        <v>7.9073733113491744E-3</v>
      </c>
      <c r="AW28" s="19">
        <f t="shared" si="4"/>
        <v>1.2171031898746698</v>
      </c>
      <c r="AX28" s="20">
        <f t="shared" si="26"/>
        <v>282.17727193626735</v>
      </c>
      <c r="AY28" s="21">
        <f t="shared" si="5"/>
        <v>567682.68765914161</v>
      </c>
      <c r="AZ28">
        <f t="shared" si="6"/>
        <v>1.6219505361689771E-2</v>
      </c>
      <c r="BA28">
        <f t="shared" si="7"/>
        <v>34999999.999999978</v>
      </c>
      <c r="BB28">
        <f t="shared" si="8"/>
        <v>34.999999999999979</v>
      </c>
      <c r="BC28">
        <f t="shared" si="9"/>
        <v>38.036813186813184</v>
      </c>
      <c r="BD28">
        <f t="shared" si="10"/>
        <v>1.7221524744100771</v>
      </c>
      <c r="BE28">
        <f t="shared" si="11"/>
        <v>154.25846013908642</v>
      </c>
      <c r="BF28" s="20">
        <f t="shared" si="12"/>
        <v>232.12813081729723</v>
      </c>
      <c r="BG28" s="22">
        <f t="shared" si="13"/>
        <v>4331486.3327789325</v>
      </c>
      <c r="BH28">
        <f t="shared" si="14"/>
        <v>5.7103189874669891E-2</v>
      </c>
      <c r="BI28">
        <f t="shared" si="15"/>
        <v>1.57679691220819E-2</v>
      </c>
      <c r="BJ28">
        <f t="shared" si="16"/>
        <v>3920510.4108079327</v>
      </c>
      <c r="BK28">
        <f t="shared" si="17"/>
        <v>4488193.0984670743</v>
      </c>
      <c r="BL28" s="22">
        <f t="shared" si="18"/>
        <v>0.44530429100656665</v>
      </c>
      <c r="BM28" s="23">
        <f t="shared" si="19"/>
        <v>0.12296238311612721</v>
      </c>
      <c r="BN28" s="24">
        <f t="shared" si="20"/>
        <v>0.43173332587730612</v>
      </c>
      <c r="BO28">
        <f t="shared" si="21"/>
        <v>1</v>
      </c>
    </row>
    <row r="29" spans="2:67" x14ac:dyDescent="0.3">
      <c r="B29" s="25">
        <v>44562</v>
      </c>
      <c r="C29" s="12">
        <v>23764.544999999998</v>
      </c>
      <c r="D29" s="26">
        <v>38546.03</v>
      </c>
      <c r="E29" s="12">
        <v>22010.829000000002</v>
      </c>
      <c r="G29" s="12">
        <v>0</v>
      </c>
      <c r="I29" s="12">
        <v>22681.456999999999</v>
      </c>
      <c r="L29" s="12">
        <f t="shared" si="22"/>
        <v>107002.86099999999</v>
      </c>
      <c r="M29" s="13">
        <f t="shared" si="27"/>
        <v>2889756.4134514257</v>
      </c>
      <c r="N29" s="26">
        <v>190193</v>
      </c>
      <c r="O29" s="12">
        <v>142174</v>
      </c>
      <c r="P29" s="26">
        <v>161661</v>
      </c>
      <c r="R29" s="26">
        <v>0</v>
      </c>
      <c r="T29" s="26">
        <v>223476</v>
      </c>
      <c r="W29" s="12">
        <f t="shared" si="0"/>
        <v>717504</v>
      </c>
      <c r="X29" s="15">
        <f t="shared" si="1"/>
        <v>22952715</v>
      </c>
      <c r="Y29" s="26">
        <v>13688.812519999999</v>
      </c>
      <c r="Z29" s="26">
        <v>1890.594374</v>
      </c>
      <c r="AA29" s="26">
        <v>428.090079</v>
      </c>
      <c r="AC29" s="26">
        <v>0</v>
      </c>
      <c r="AE29" s="26">
        <v>18992.170602999999</v>
      </c>
      <c r="AH29" s="12">
        <f t="shared" si="2"/>
        <v>34999.667576</v>
      </c>
      <c r="AI29" s="17">
        <f t="shared" si="23"/>
        <v>445975.58954700001</v>
      </c>
      <c r="AJ29" s="42" t="s">
        <v>56</v>
      </c>
      <c r="AK29" s="42"/>
      <c r="AL29" s="42"/>
      <c r="AM29" s="42"/>
      <c r="AO29">
        <f t="shared" si="24"/>
        <v>27</v>
      </c>
      <c r="AP29" s="48">
        <f t="shared" si="3"/>
        <v>2215.0965999999999</v>
      </c>
      <c r="AQ29" s="48"/>
      <c r="AR29" s="42"/>
      <c r="AS29" s="42"/>
      <c r="AT29" s="42"/>
      <c r="AU29" s="42"/>
      <c r="AV29" s="18">
        <f t="shared" si="25"/>
        <v>7.9076381878785788E-3</v>
      </c>
      <c r="AW29" s="19">
        <f t="shared" si="4"/>
        <v>1.2171031898746698</v>
      </c>
      <c r="AX29" s="20">
        <f t="shared" si="26"/>
        <v>280.49708295045713</v>
      </c>
      <c r="AY29" s="21">
        <f t="shared" si="5"/>
        <v>567683.21704445779</v>
      </c>
      <c r="AZ29">
        <f t="shared" si="6"/>
        <v>1.621952048698452E-2</v>
      </c>
      <c r="BA29">
        <f t="shared" si="7"/>
        <v>34999999.999999978</v>
      </c>
      <c r="BB29">
        <f t="shared" si="8"/>
        <v>34.999999999999979</v>
      </c>
      <c r="BC29">
        <f t="shared" si="9"/>
        <v>38.036813186813184</v>
      </c>
      <c r="BD29">
        <f t="shared" si="10"/>
        <v>1.7221524744100771</v>
      </c>
      <c r="BE29">
        <f t="shared" si="11"/>
        <v>154.25846013908642</v>
      </c>
      <c r="BF29" s="20">
        <f t="shared" si="12"/>
        <v>232.12813081729723</v>
      </c>
      <c r="BG29" s="22">
        <f t="shared" si="13"/>
        <v>4500710.2132334681</v>
      </c>
      <c r="BH29">
        <f t="shared" si="14"/>
        <v>5.7103189874669891E-2</v>
      </c>
      <c r="BI29">
        <f t="shared" si="15"/>
        <v>1.57679691220819E-2</v>
      </c>
      <c r="BJ29">
        <f t="shared" si="16"/>
        <v>4054734.6236864682</v>
      </c>
      <c r="BK29">
        <f t="shared" si="17"/>
        <v>4622417.840730926</v>
      </c>
      <c r="BL29" s="22">
        <f t="shared" si="18"/>
        <v>0.43237364394072453</v>
      </c>
      <c r="BM29" s="23">
        <f t="shared" si="19"/>
        <v>0.11939182875462419</v>
      </c>
      <c r="BN29" s="24">
        <f t="shared" si="20"/>
        <v>0.4482345273046513</v>
      </c>
      <c r="BO29">
        <f t="shared" si="21"/>
        <v>1</v>
      </c>
    </row>
    <row r="30" spans="2:67" x14ac:dyDescent="0.3">
      <c r="B30" s="25">
        <v>44593</v>
      </c>
      <c r="C30" s="12">
        <v>11515.85</v>
      </c>
      <c r="D30" s="26">
        <v>32026.851999999999</v>
      </c>
      <c r="E30" s="12">
        <v>20219.286</v>
      </c>
      <c r="G30" s="12">
        <v>0</v>
      </c>
      <c r="I30" s="12">
        <v>16689.329000000002</v>
      </c>
      <c r="J30" s="12">
        <v>13047.413</v>
      </c>
      <c r="L30" s="12">
        <f t="shared" si="22"/>
        <v>93498.73</v>
      </c>
      <c r="M30" s="13">
        <f t="shared" si="27"/>
        <v>2983255.1434514257</v>
      </c>
      <c r="N30" s="26">
        <v>100213</v>
      </c>
      <c r="O30" s="12">
        <v>109678</v>
      </c>
      <c r="P30" s="26">
        <v>130770</v>
      </c>
      <c r="R30" s="26">
        <v>0</v>
      </c>
      <c r="T30" s="26">
        <v>175895</v>
      </c>
      <c r="U30" s="12">
        <v>97555</v>
      </c>
      <c r="W30" s="12">
        <f t="shared" si="0"/>
        <v>614111</v>
      </c>
      <c r="X30" s="15">
        <f>X29+W30</f>
        <v>23566826</v>
      </c>
      <c r="Y30" s="26">
        <v>17552.649240999999</v>
      </c>
      <c r="Z30" s="26">
        <v>9106.0264999999999</v>
      </c>
      <c r="AA30" s="26">
        <v>372.78386799999998</v>
      </c>
      <c r="AC30" s="26">
        <v>0</v>
      </c>
      <c r="AE30" s="26">
        <v>13964.909582</v>
      </c>
      <c r="AF30" s="16">
        <v>1680.0936400000001</v>
      </c>
      <c r="AH30" s="12">
        <f t="shared" si="2"/>
        <v>42676.462830999997</v>
      </c>
      <c r="AI30" s="17">
        <f t="shared" si="23"/>
        <v>488652.05237799999</v>
      </c>
      <c r="AO30">
        <f t="shared" si="24"/>
        <v>28</v>
      </c>
      <c r="AP30" s="48">
        <f t="shared" si="3"/>
        <v>2215.0223999999998</v>
      </c>
      <c r="AQ30" s="48"/>
      <c r="AR30" s="42"/>
      <c r="AS30" s="42"/>
      <c r="AT30" s="42"/>
      <c r="AU30" s="42"/>
      <c r="AV30" s="18">
        <f t="shared" si="25"/>
        <v>7.9079030821539321E-3</v>
      </c>
      <c r="AW30" s="19">
        <f t="shared" si="4"/>
        <v>1.2171031898746698</v>
      </c>
      <c r="AX30" s="20">
        <f t="shared" si="26"/>
        <v>278.97559884178611</v>
      </c>
      <c r="AY30" s="21">
        <f t="shared" si="5"/>
        <v>567683.74646524154</v>
      </c>
      <c r="AZ30">
        <f t="shared" si="6"/>
        <v>1.6219535613292622E-2</v>
      </c>
      <c r="BA30">
        <f t="shared" si="7"/>
        <v>34999999.999999985</v>
      </c>
      <c r="BB30">
        <f t="shared" si="8"/>
        <v>34.999999999999986</v>
      </c>
      <c r="BC30">
        <f t="shared" si="9"/>
        <v>38.036813186813184</v>
      </c>
      <c r="BD30">
        <f t="shared" si="10"/>
        <v>1.7221524744100771</v>
      </c>
      <c r="BE30">
        <f t="shared" si="11"/>
        <v>154.25846013908642</v>
      </c>
      <c r="BF30" s="20">
        <f t="shared" si="12"/>
        <v>232.12813081729723</v>
      </c>
      <c r="BG30" s="22">
        <f t="shared" si="13"/>
        <v>4657089.9803172471</v>
      </c>
      <c r="BH30">
        <f t="shared" si="14"/>
        <v>5.7103189874669891E-2</v>
      </c>
      <c r="BI30">
        <f t="shared" si="15"/>
        <v>1.57679691220819E-2</v>
      </c>
      <c r="BJ30">
        <f t="shared" si="16"/>
        <v>4168437.9279392473</v>
      </c>
      <c r="BK30">
        <f t="shared" si="17"/>
        <v>4736121.6744044889</v>
      </c>
      <c r="BL30" s="22">
        <f t="shared" si="18"/>
        <v>0.42199330655176798</v>
      </c>
      <c r="BM30" s="23">
        <f t="shared" si="19"/>
        <v>0.11652549432067931</v>
      </c>
      <c r="BN30" s="24">
        <f t="shared" si="20"/>
        <v>0.46148119912755264</v>
      </c>
      <c r="BO30">
        <f t="shared" si="21"/>
        <v>1</v>
      </c>
    </row>
    <row r="31" spans="2:67" x14ac:dyDescent="0.3">
      <c r="B31" s="28">
        <v>44621</v>
      </c>
      <c r="C31" s="12">
        <v>8440.9189999999999</v>
      </c>
      <c r="D31" s="26">
        <v>33074.504000000001</v>
      </c>
      <c r="E31" s="12">
        <v>22081.853999999999</v>
      </c>
      <c r="G31" s="12">
        <v>0</v>
      </c>
      <c r="I31" s="12">
        <v>16357.291999999999</v>
      </c>
      <c r="J31" s="12">
        <v>19237.486000000001</v>
      </c>
      <c r="K31" s="12">
        <v>6255.6310000000003</v>
      </c>
      <c r="L31" s="12">
        <f t="shared" si="22"/>
        <v>105447.686</v>
      </c>
      <c r="M31" s="12">
        <f t="shared" si="27"/>
        <v>3088702.8294514259</v>
      </c>
      <c r="N31" s="26">
        <v>122999</v>
      </c>
      <c r="O31" s="12">
        <v>132872</v>
      </c>
      <c r="P31" s="26">
        <v>157876</v>
      </c>
      <c r="R31" s="26">
        <v>0</v>
      </c>
      <c r="T31" s="26">
        <v>209488</v>
      </c>
      <c r="U31" s="12">
        <v>124311</v>
      </c>
      <c r="V31" s="16">
        <v>33304</v>
      </c>
      <c r="W31" s="12">
        <f t="shared" si="0"/>
        <v>780850</v>
      </c>
      <c r="X31" s="12">
        <f t="shared" si="1"/>
        <v>24347676</v>
      </c>
      <c r="Y31" s="26">
        <v>17985.324582000001</v>
      </c>
      <c r="Z31" s="26">
        <v>13287.655366999999</v>
      </c>
      <c r="AA31" s="26">
        <v>448.71433400000001</v>
      </c>
      <c r="AC31" s="26">
        <v>0</v>
      </c>
      <c r="AE31" s="26">
        <v>14849.532211</v>
      </c>
      <c r="AF31" s="26">
        <v>1048.377573</v>
      </c>
      <c r="AG31" s="16">
        <v>1742.2745990000001</v>
      </c>
      <c r="AH31" s="12">
        <f t="shared" si="2"/>
        <v>49361.878665999997</v>
      </c>
      <c r="AI31" s="12">
        <f t="shared" si="23"/>
        <v>538013.93104399997</v>
      </c>
      <c r="AO31">
        <f t="shared" si="24"/>
        <v>29</v>
      </c>
    </row>
    <row r="32" spans="2:67" x14ac:dyDescent="0.3">
      <c r="B32" s="28">
        <v>44652</v>
      </c>
      <c r="C32" s="12">
        <v>4729.6750000000002</v>
      </c>
      <c r="D32" s="26">
        <v>30873.334999999999</v>
      </c>
      <c r="E32" s="12">
        <v>21111.174999999999</v>
      </c>
      <c r="G32" s="12">
        <v>0</v>
      </c>
      <c r="I32" s="12">
        <v>15924.043</v>
      </c>
      <c r="J32" s="12">
        <v>22150.992999999999</v>
      </c>
      <c r="K32" s="12">
        <v>19841.439999999999</v>
      </c>
      <c r="L32" s="12">
        <f t="shared" si="22"/>
        <v>114630.66100000001</v>
      </c>
      <c r="M32" s="12">
        <f t="shared" si="27"/>
        <v>3203333.4904514258</v>
      </c>
      <c r="N32" s="26">
        <v>113715</v>
      </c>
      <c r="O32" s="12">
        <v>135743</v>
      </c>
      <c r="P32" s="26">
        <v>160319</v>
      </c>
      <c r="R32" s="26">
        <v>0</v>
      </c>
      <c r="T32" s="26">
        <v>213842</v>
      </c>
      <c r="U32" s="12">
        <v>128743</v>
      </c>
      <c r="V32" s="26">
        <v>136545</v>
      </c>
      <c r="W32" s="12">
        <f t="shared" si="0"/>
        <v>888907</v>
      </c>
      <c r="X32" s="12">
        <f t="shared" si="1"/>
        <v>25236583</v>
      </c>
      <c r="Y32" s="26">
        <v>10914.299974</v>
      </c>
      <c r="Z32" s="26">
        <v>11446.73783</v>
      </c>
      <c r="AA32" s="26">
        <v>461.24361699999997</v>
      </c>
      <c r="AC32" s="26">
        <v>0</v>
      </c>
      <c r="AE32" s="26">
        <v>11815.98683</v>
      </c>
      <c r="AF32" s="26">
        <v>397.358116</v>
      </c>
      <c r="AG32" s="26">
        <v>5630.4465559999999</v>
      </c>
      <c r="AH32" s="12">
        <f t="shared" si="2"/>
        <v>40666.072923000007</v>
      </c>
      <c r="AI32" s="12">
        <f t="shared" si="23"/>
        <v>578680.00396699994</v>
      </c>
      <c r="AO32">
        <f t="shared" si="24"/>
        <v>30</v>
      </c>
    </row>
    <row r="33" spans="2:41" x14ac:dyDescent="0.3">
      <c r="B33" s="28">
        <v>44682</v>
      </c>
      <c r="C33" s="12">
        <v>4806.143</v>
      </c>
      <c r="D33" s="26">
        <v>28816.246999999999</v>
      </c>
      <c r="E33" s="12">
        <v>20937.809000000001</v>
      </c>
      <c r="G33" s="12">
        <v>0</v>
      </c>
      <c r="I33" s="12">
        <v>17814.929</v>
      </c>
      <c r="J33" s="12">
        <v>27372.978999999999</v>
      </c>
      <c r="K33" s="12">
        <v>19961.911</v>
      </c>
      <c r="L33" s="12">
        <f t="shared" si="22"/>
        <v>119710.01799999998</v>
      </c>
      <c r="M33" s="12">
        <f t="shared" si="27"/>
        <v>3323043.5084514259</v>
      </c>
      <c r="N33" s="26">
        <v>115782</v>
      </c>
      <c r="O33" s="12">
        <v>126977</v>
      </c>
      <c r="P33" s="26">
        <v>159256</v>
      </c>
      <c r="R33" s="26">
        <v>0</v>
      </c>
      <c r="T33" s="26">
        <v>239872</v>
      </c>
      <c r="U33" s="12">
        <v>159627</v>
      </c>
      <c r="V33" s="26">
        <v>137657</v>
      </c>
      <c r="W33" s="12">
        <f t="shared" si="0"/>
        <v>939171</v>
      </c>
      <c r="X33" s="12">
        <f t="shared" si="1"/>
        <v>26175754</v>
      </c>
      <c r="Y33" s="26">
        <v>12381.955617</v>
      </c>
      <c r="Z33" s="26">
        <v>13361.591963000001</v>
      </c>
      <c r="AA33" s="26">
        <v>759.22917900000004</v>
      </c>
      <c r="AC33" s="26">
        <v>0</v>
      </c>
      <c r="AE33" s="26">
        <v>12569.655827</v>
      </c>
      <c r="AF33" s="26">
        <v>451.24283200000002</v>
      </c>
      <c r="AG33" s="26">
        <v>7865.9609810000002</v>
      </c>
      <c r="AH33" s="12">
        <f t="shared" si="2"/>
        <v>47389.63639900001</v>
      </c>
      <c r="AI33" s="12">
        <f t="shared" si="23"/>
        <v>626069.64036599989</v>
      </c>
      <c r="AO33">
        <f t="shared" si="24"/>
        <v>31</v>
      </c>
    </row>
    <row r="34" spans="2:41" x14ac:dyDescent="0.3">
      <c r="B34" s="28">
        <v>44713</v>
      </c>
      <c r="C34" s="12">
        <v>4471.7349999999997</v>
      </c>
      <c r="D34" s="26">
        <v>26947.527999999998</v>
      </c>
      <c r="E34" s="12">
        <v>19335.098999999998</v>
      </c>
      <c r="G34" s="12">
        <v>0</v>
      </c>
      <c r="I34" s="12">
        <v>12254.732</v>
      </c>
      <c r="J34" s="12">
        <v>26595.523000000001</v>
      </c>
      <c r="K34" s="12">
        <v>15928.692999999999</v>
      </c>
      <c r="L34" s="12">
        <f t="shared" si="22"/>
        <v>105533.31</v>
      </c>
      <c r="M34" s="12">
        <f t="shared" si="27"/>
        <v>3428576.818451426</v>
      </c>
      <c r="N34" s="26">
        <v>107891</v>
      </c>
      <c r="O34" s="12">
        <v>118948</v>
      </c>
      <c r="P34" s="26">
        <v>147281</v>
      </c>
      <c r="R34" s="26">
        <v>0</v>
      </c>
      <c r="T34" s="26">
        <v>166155</v>
      </c>
      <c r="U34" s="12">
        <v>155115</v>
      </c>
      <c r="V34" s="26">
        <v>110372</v>
      </c>
      <c r="W34" s="12">
        <f t="shared" si="0"/>
        <v>805762</v>
      </c>
      <c r="X34" s="12">
        <f t="shared" si="1"/>
        <v>26981516</v>
      </c>
      <c r="Y34" s="26">
        <v>12957.094928</v>
      </c>
      <c r="Z34" s="26">
        <v>14862.306796999999</v>
      </c>
      <c r="AA34" s="26">
        <v>1123.289092</v>
      </c>
      <c r="AC34" s="26">
        <v>0</v>
      </c>
      <c r="AE34" s="26">
        <v>9180.5103120000003</v>
      </c>
      <c r="AF34" s="26">
        <v>472.13754799999998</v>
      </c>
      <c r="AG34" s="26">
        <v>8632.1403869999995</v>
      </c>
      <c r="AH34" s="12">
        <f t="shared" si="2"/>
        <v>47227.479063999999</v>
      </c>
      <c r="AI34" s="12">
        <f t="shared" si="23"/>
        <v>673297.11942999985</v>
      </c>
      <c r="AO34">
        <f t="shared" si="24"/>
        <v>32</v>
      </c>
    </row>
    <row r="35" spans="2:41" x14ac:dyDescent="0.3">
      <c r="B35" s="28">
        <v>44743</v>
      </c>
      <c r="C35" s="12">
        <v>4066.82</v>
      </c>
      <c r="D35" s="26">
        <v>25547.397000000001</v>
      </c>
      <c r="E35" s="12">
        <v>18158.577000000001</v>
      </c>
      <c r="G35" s="12">
        <v>0</v>
      </c>
      <c r="I35" s="12">
        <v>6039.366</v>
      </c>
      <c r="J35" s="12">
        <v>28900.334999999999</v>
      </c>
      <c r="K35" s="12">
        <v>10570.038</v>
      </c>
      <c r="L35" s="12">
        <f t="shared" si="22"/>
        <v>93282.532999999996</v>
      </c>
      <c r="M35" s="12">
        <f t="shared" si="27"/>
        <v>3521859.3514514258</v>
      </c>
      <c r="N35" s="26">
        <v>94281</v>
      </c>
      <c r="O35" s="12">
        <v>108451</v>
      </c>
      <c r="P35" s="26">
        <v>133056</v>
      </c>
      <c r="R35" s="26">
        <v>0</v>
      </c>
      <c r="T35" s="26">
        <v>78260</v>
      </c>
      <c r="U35" s="12">
        <v>162367</v>
      </c>
      <c r="V35" s="26">
        <v>70146</v>
      </c>
      <c r="W35" s="12">
        <f t="shared" si="0"/>
        <v>646561</v>
      </c>
      <c r="X35" s="12">
        <f t="shared" si="1"/>
        <v>27628077</v>
      </c>
      <c r="Y35" s="26">
        <v>14008.560793000001</v>
      </c>
      <c r="Z35" s="26">
        <v>20275.598008000001</v>
      </c>
      <c r="AA35" s="26">
        <v>1703.736993</v>
      </c>
      <c r="AC35" s="26">
        <v>0</v>
      </c>
      <c r="AE35" s="26">
        <v>4417.012052</v>
      </c>
      <c r="AF35" s="26">
        <v>550.59650999999997</v>
      </c>
      <c r="AG35" s="26">
        <v>9732.8490999999995</v>
      </c>
      <c r="AH35" s="12">
        <f t="shared" si="2"/>
        <v>50688.353455999997</v>
      </c>
      <c r="AI35" s="12">
        <f t="shared" si="23"/>
        <v>723985.47288599983</v>
      </c>
      <c r="AO35">
        <f t="shared" si="24"/>
        <v>33</v>
      </c>
    </row>
    <row r="36" spans="2:41" x14ac:dyDescent="0.3">
      <c r="B36" s="28">
        <v>44774</v>
      </c>
      <c r="C36" s="12">
        <v>4395.6049999999996</v>
      </c>
      <c r="D36" s="26">
        <v>25666.522000000001</v>
      </c>
      <c r="E36" s="12">
        <v>19137.821</v>
      </c>
      <c r="G36" s="12">
        <v>0</v>
      </c>
      <c r="I36" s="12">
        <v>6527.6260000000002</v>
      </c>
      <c r="J36" s="12">
        <v>29035.098999999998</v>
      </c>
      <c r="K36" s="12">
        <v>11424.587</v>
      </c>
      <c r="L36" s="12">
        <f t="shared" si="22"/>
        <v>96187.260000000009</v>
      </c>
      <c r="M36" s="12">
        <f t="shared" si="27"/>
        <v>3618046.6114514256</v>
      </c>
      <c r="N36" s="26">
        <v>100568</v>
      </c>
      <c r="O36" s="12">
        <v>107404</v>
      </c>
      <c r="P36" s="26">
        <v>138250</v>
      </c>
      <c r="R36" s="26">
        <v>0</v>
      </c>
      <c r="T36" s="26">
        <v>83487</v>
      </c>
      <c r="U36" s="12">
        <v>160789</v>
      </c>
      <c r="V36" s="26">
        <v>74822</v>
      </c>
      <c r="W36" s="12">
        <f t="shared" si="0"/>
        <v>665320</v>
      </c>
      <c r="X36" s="12">
        <f t="shared" si="1"/>
        <v>28293397</v>
      </c>
      <c r="Y36" s="26">
        <v>17721.448598999999</v>
      </c>
      <c r="Z36" s="26">
        <v>23480.754292000001</v>
      </c>
      <c r="AA36" s="26">
        <v>2052.8775059999998</v>
      </c>
      <c r="AC36" s="26">
        <v>0</v>
      </c>
      <c r="AE36" s="26">
        <v>5587.6696250000005</v>
      </c>
      <c r="AF36" s="26">
        <v>637.62847399999998</v>
      </c>
      <c r="AG36" s="26">
        <v>12312.535093</v>
      </c>
      <c r="AH36" s="12">
        <f t="shared" si="2"/>
        <v>61792.913588999996</v>
      </c>
      <c r="AI36" s="12">
        <f t="shared" si="23"/>
        <v>785778.38647499983</v>
      </c>
      <c r="AO36">
        <f t="shared" si="24"/>
        <v>34</v>
      </c>
    </row>
    <row r="37" spans="2:41" x14ac:dyDescent="0.3">
      <c r="B37" s="28">
        <v>44805</v>
      </c>
      <c r="C37" s="12">
        <v>4474.2929999999997</v>
      </c>
      <c r="D37" s="26">
        <v>24665.473000000002</v>
      </c>
      <c r="E37" s="12">
        <v>19284.48</v>
      </c>
      <c r="G37" s="12">
        <v>0</v>
      </c>
      <c r="I37" s="12">
        <v>7117.2830000000004</v>
      </c>
      <c r="J37" s="12">
        <v>29154.565999999999</v>
      </c>
      <c r="K37" s="12">
        <v>10658.277</v>
      </c>
      <c r="L37" s="12">
        <f t="shared" si="22"/>
        <v>95354.372000000003</v>
      </c>
      <c r="M37" s="12">
        <f t="shared" si="27"/>
        <v>3713400.9834514256</v>
      </c>
      <c r="N37" s="26">
        <v>100048</v>
      </c>
      <c r="O37" s="12">
        <v>104396</v>
      </c>
      <c r="P37" s="26">
        <v>140944</v>
      </c>
      <c r="R37" s="26">
        <v>0</v>
      </c>
      <c r="T37" s="26">
        <v>87636</v>
      </c>
      <c r="U37" s="12">
        <v>163345</v>
      </c>
      <c r="V37" s="26">
        <v>70139</v>
      </c>
      <c r="W37" s="12">
        <f t="shared" si="0"/>
        <v>666508</v>
      </c>
      <c r="X37" s="12">
        <f t="shared" si="1"/>
        <v>28959905</v>
      </c>
      <c r="Y37" s="26">
        <v>13809.746504999999</v>
      </c>
      <c r="Z37" s="26">
        <v>19244.058226000001</v>
      </c>
      <c r="AA37" s="26">
        <v>1952.863394</v>
      </c>
      <c r="AC37" s="26">
        <v>0</v>
      </c>
      <c r="AE37" s="26">
        <v>4921.9320310000003</v>
      </c>
      <c r="AF37" s="26">
        <v>501.75621599999999</v>
      </c>
      <c r="AG37" s="26">
        <v>9933.2798679999996</v>
      </c>
      <c r="AH37" s="12">
        <f t="shared" si="2"/>
        <v>50363.63624</v>
      </c>
      <c r="AI37" s="12">
        <f t="shared" si="23"/>
        <v>836142.02271499985</v>
      </c>
      <c r="AO37">
        <f t="shared" si="24"/>
        <v>35</v>
      </c>
    </row>
    <row r="38" spans="2:41" x14ac:dyDescent="0.3">
      <c r="B38" s="28">
        <v>44835</v>
      </c>
      <c r="C38" s="12">
        <v>5123.7190000000001</v>
      </c>
      <c r="D38" s="26">
        <v>21047.561000000002</v>
      </c>
      <c r="E38" s="12">
        <v>21163.19</v>
      </c>
      <c r="G38" s="12">
        <v>0</v>
      </c>
      <c r="I38" s="12">
        <v>10665.815000000001</v>
      </c>
      <c r="J38" s="12">
        <v>31012.708999999999</v>
      </c>
      <c r="K38" s="12">
        <v>9733.6029999999992</v>
      </c>
      <c r="L38" s="12">
        <f t="shared" si="22"/>
        <v>98746.597000000009</v>
      </c>
      <c r="M38" s="12">
        <f t="shared" si="27"/>
        <v>3812147.5804514256</v>
      </c>
      <c r="N38" s="26">
        <v>98017</v>
      </c>
      <c r="O38" s="12">
        <v>87150</v>
      </c>
      <c r="P38" s="26">
        <v>151257</v>
      </c>
      <c r="R38" s="26">
        <v>0</v>
      </c>
      <c r="T38" s="26">
        <v>107651</v>
      </c>
      <c r="U38" s="12">
        <v>170077</v>
      </c>
      <c r="V38" s="26">
        <v>59901</v>
      </c>
      <c r="W38" s="12">
        <f t="shared" si="0"/>
        <v>674053</v>
      </c>
      <c r="X38" s="12">
        <f t="shared" si="1"/>
        <v>29633958</v>
      </c>
      <c r="Y38" s="26">
        <v>9582.0951760000007</v>
      </c>
      <c r="Z38" s="26">
        <v>17541.554029999999</v>
      </c>
      <c r="AA38" s="26">
        <v>3043.6216399999998</v>
      </c>
      <c r="AC38" s="26">
        <v>0</v>
      </c>
      <c r="AE38" s="26">
        <v>6511.9683169999998</v>
      </c>
      <c r="AF38" s="26">
        <v>490.535214</v>
      </c>
      <c r="AG38" s="26">
        <v>10439.646505000001</v>
      </c>
      <c r="AH38" s="12">
        <f t="shared" si="2"/>
        <v>47609.420882000006</v>
      </c>
      <c r="AI38" s="12">
        <f t="shared" si="23"/>
        <v>883751.44359699986</v>
      </c>
      <c r="AO38">
        <f t="shared" si="24"/>
        <v>36</v>
      </c>
    </row>
    <row r="39" spans="2:41" x14ac:dyDescent="0.3">
      <c r="B39" s="28">
        <v>44866</v>
      </c>
      <c r="C39" s="12">
        <v>4662.3109999999997</v>
      </c>
      <c r="D39" s="26">
        <v>18535.338</v>
      </c>
      <c r="E39" s="12">
        <v>18551.774000000001</v>
      </c>
      <c r="G39" s="12">
        <v>0</v>
      </c>
      <c r="I39" s="12">
        <v>9452.3829999999998</v>
      </c>
      <c r="J39" s="12">
        <v>27061.699000000001</v>
      </c>
      <c r="K39" s="12">
        <v>8882.1769999999997</v>
      </c>
      <c r="L39" s="12">
        <f t="shared" si="22"/>
        <v>87145.682000000001</v>
      </c>
      <c r="M39" s="12">
        <f t="shared" si="27"/>
        <v>3899293.2624514257</v>
      </c>
      <c r="N39" s="26">
        <v>92727</v>
      </c>
      <c r="O39" s="12">
        <v>80244</v>
      </c>
      <c r="P39" s="26">
        <v>141620</v>
      </c>
      <c r="R39" s="26">
        <v>0</v>
      </c>
      <c r="T39" s="26">
        <v>101476</v>
      </c>
      <c r="U39" s="12">
        <v>152315</v>
      </c>
      <c r="V39" s="26">
        <v>56202</v>
      </c>
      <c r="W39" s="12">
        <f t="shared" si="0"/>
        <v>624584</v>
      </c>
      <c r="X39" s="12">
        <f t="shared" si="1"/>
        <v>30258542</v>
      </c>
      <c r="Y39" s="26">
        <v>8038.8487150000001</v>
      </c>
      <c r="Z39" s="26">
        <v>13955.437144</v>
      </c>
      <c r="AA39" s="26">
        <v>2432.655628</v>
      </c>
      <c r="AC39" s="26">
        <v>0</v>
      </c>
      <c r="AE39" s="26">
        <v>4955.6390730000003</v>
      </c>
      <c r="AF39" s="26">
        <v>729.39036599999997</v>
      </c>
      <c r="AG39" s="26">
        <v>7263.8132690000002</v>
      </c>
      <c r="AH39" s="12">
        <f t="shared" si="2"/>
        <v>37375.784195</v>
      </c>
      <c r="AI39" s="12">
        <f t="shared" si="23"/>
        <v>921127.22779199982</v>
      </c>
      <c r="AO39">
        <f t="shared" si="24"/>
        <v>37</v>
      </c>
    </row>
    <row r="40" spans="2:41" x14ac:dyDescent="0.3">
      <c r="B40" s="28">
        <v>44896</v>
      </c>
      <c r="C40" s="12">
        <v>5162.4210000000003</v>
      </c>
      <c r="D40" s="26">
        <v>18844.597000000002</v>
      </c>
      <c r="E40" s="12">
        <v>17502.300999999999</v>
      </c>
      <c r="G40" s="12">
        <v>0</v>
      </c>
      <c r="I40" s="12">
        <v>9795.7520000000004</v>
      </c>
      <c r="J40" s="12">
        <v>28192.684000000001</v>
      </c>
      <c r="K40" s="12">
        <v>9125.0560000000005</v>
      </c>
      <c r="L40" s="12">
        <f t="shared" si="22"/>
        <v>88622.811000000002</v>
      </c>
      <c r="M40" s="12">
        <f t="shared" si="27"/>
        <v>3987916.0734514259</v>
      </c>
      <c r="N40" s="26">
        <v>99950</v>
      </c>
      <c r="O40" s="12">
        <v>76159</v>
      </c>
      <c r="P40" s="26">
        <v>122810</v>
      </c>
      <c r="R40" s="26">
        <v>0</v>
      </c>
      <c r="T40" s="26">
        <v>97606</v>
      </c>
      <c r="U40" s="12">
        <v>149038</v>
      </c>
      <c r="V40" s="26">
        <v>54283</v>
      </c>
      <c r="W40" s="12">
        <f t="shared" si="0"/>
        <v>599846</v>
      </c>
      <c r="X40" s="12">
        <f t="shared" si="1"/>
        <v>30858388</v>
      </c>
      <c r="Y40" s="26">
        <v>12164.844295000001</v>
      </c>
      <c r="Z40" s="26">
        <v>19541.119191999998</v>
      </c>
      <c r="AA40" s="26">
        <v>3415.8960350000002</v>
      </c>
      <c r="AC40" s="26">
        <v>0</v>
      </c>
      <c r="AE40" s="26">
        <v>7045.4502839999996</v>
      </c>
      <c r="AF40" s="26">
        <v>1817.1672470000001</v>
      </c>
      <c r="AG40" s="26">
        <v>10673.029535</v>
      </c>
      <c r="AH40" s="12">
        <f t="shared" si="2"/>
        <v>54657.506587999997</v>
      </c>
      <c r="AI40" s="12">
        <f t="shared" si="23"/>
        <v>975784.73437999981</v>
      </c>
      <c r="AO40">
        <f t="shared" si="24"/>
        <v>38</v>
      </c>
    </row>
    <row r="41" spans="2:41" x14ac:dyDescent="0.3">
      <c r="B41" s="28">
        <v>44927</v>
      </c>
      <c r="C41" s="12">
        <v>6508.7280000000001</v>
      </c>
      <c r="D41" s="26">
        <v>19394.892</v>
      </c>
      <c r="E41" s="12">
        <v>20106.677</v>
      </c>
      <c r="G41" s="12">
        <v>0</v>
      </c>
      <c r="I41" s="12">
        <v>10485.906000000001</v>
      </c>
      <c r="J41" s="12">
        <v>29842.128000000001</v>
      </c>
      <c r="K41" s="12">
        <v>9390.3379999999997</v>
      </c>
      <c r="L41" s="12">
        <f t="shared" si="22"/>
        <v>95728.669000000009</v>
      </c>
      <c r="M41" s="12">
        <f t="shared" si="27"/>
        <v>4083644.7424514261</v>
      </c>
      <c r="N41" s="26">
        <v>118261</v>
      </c>
      <c r="O41" s="12">
        <v>76268</v>
      </c>
      <c r="P41" s="26">
        <v>136404</v>
      </c>
      <c r="R41" s="26">
        <v>0</v>
      </c>
      <c r="T41" s="26">
        <v>100557</v>
      </c>
      <c r="U41" s="12">
        <v>155261</v>
      </c>
      <c r="V41" s="26">
        <v>54869</v>
      </c>
      <c r="W41" s="12">
        <f t="shared" si="0"/>
        <v>641620</v>
      </c>
      <c r="X41" s="12">
        <f t="shared" si="1"/>
        <v>31500008</v>
      </c>
      <c r="Y41" s="26">
        <v>13919.654469999999</v>
      </c>
      <c r="Z41" s="26">
        <v>20806.589209999998</v>
      </c>
      <c r="AA41" s="26">
        <v>4468.2927890000001</v>
      </c>
      <c r="AC41" s="26">
        <v>0</v>
      </c>
      <c r="AE41" s="26">
        <v>7823.9954349999998</v>
      </c>
      <c r="AF41" s="26">
        <v>2627.6142679999998</v>
      </c>
      <c r="AG41" s="26">
        <v>13106.767008999999</v>
      </c>
      <c r="AH41" s="12">
        <f t="shared" si="2"/>
        <v>62752.913180999996</v>
      </c>
      <c r="AI41" s="12">
        <f t="shared" si="23"/>
        <v>1038537.6475609998</v>
      </c>
      <c r="AO41">
        <f t="shared" si="24"/>
        <v>39</v>
      </c>
    </row>
    <row r="42" spans="2:41" x14ac:dyDescent="0.3">
      <c r="B42" s="28">
        <v>44958</v>
      </c>
      <c r="C42" s="12">
        <v>5978.2690000000002</v>
      </c>
      <c r="D42" s="26">
        <v>16871.383000000002</v>
      </c>
      <c r="E42" s="12">
        <v>17583.12</v>
      </c>
      <c r="G42" s="12">
        <v>0</v>
      </c>
      <c r="I42" s="12">
        <v>8933.2309999999998</v>
      </c>
      <c r="J42" s="12">
        <v>26205.73</v>
      </c>
      <c r="K42" s="12">
        <v>8469.1659999999993</v>
      </c>
      <c r="L42" s="12">
        <f t="shared" si="22"/>
        <v>84040.89899999999</v>
      </c>
      <c r="M42" s="12">
        <f t="shared" si="27"/>
        <v>4167685.6414514263</v>
      </c>
      <c r="N42" s="26">
        <v>112986</v>
      </c>
      <c r="O42" s="12">
        <v>69013</v>
      </c>
      <c r="P42" s="26">
        <v>124146</v>
      </c>
      <c r="R42" s="26">
        <v>0</v>
      </c>
      <c r="T42" s="26">
        <v>89063</v>
      </c>
      <c r="U42" s="12">
        <v>141833</v>
      </c>
      <c r="V42" s="26">
        <v>51494</v>
      </c>
      <c r="W42" s="12">
        <f t="shared" si="0"/>
        <v>588535</v>
      </c>
      <c r="X42" s="12">
        <f t="shared" si="1"/>
        <v>32088543</v>
      </c>
      <c r="Y42" s="26">
        <v>13627.669372</v>
      </c>
      <c r="Z42" s="26">
        <v>20262.389425000001</v>
      </c>
      <c r="AA42" s="26">
        <v>4840.7747470000004</v>
      </c>
      <c r="AC42" s="26">
        <v>0</v>
      </c>
      <c r="AE42" s="26">
        <v>7716.8549830000002</v>
      </c>
      <c r="AF42" s="26">
        <v>2467.821899</v>
      </c>
      <c r="AG42" s="26">
        <v>12986.757623</v>
      </c>
      <c r="AH42" s="12">
        <f t="shared" si="2"/>
        <v>61902.268049000006</v>
      </c>
      <c r="AI42" s="12">
        <f t="shared" si="23"/>
        <v>1100439.9156099998</v>
      </c>
      <c r="AO42">
        <f t="shared" si="24"/>
        <v>40</v>
      </c>
    </row>
    <row r="43" spans="2:41" x14ac:dyDescent="0.3">
      <c r="B43" s="28">
        <v>44986</v>
      </c>
      <c r="C43" s="12">
        <v>6670.57</v>
      </c>
      <c r="D43" s="26">
        <v>19166.277999999998</v>
      </c>
      <c r="E43" s="12">
        <v>19807.341</v>
      </c>
      <c r="G43" s="12">
        <v>0</v>
      </c>
      <c r="I43" s="12">
        <v>10519.441000000001</v>
      </c>
      <c r="J43" s="12">
        <v>29702.157999999999</v>
      </c>
      <c r="K43" s="12">
        <v>9490.4619999999995</v>
      </c>
      <c r="L43" s="12">
        <f t="shared" si="22"/>
        <v>95356.25</v>
      </c>
      <c r="M43" s="12">
        <f t="shared" si="27"/>
        <v>4263041.8914514259</v>
      </c>
      <c r="N43" s="26">
        <v>120697</v>
      </c>
      <c r="O43" s="12">
        <v>75118</v>
      </c>
      <c r="P43" s="26">
        <v>133950</v>
      </c>
      <c r="R43" s="26">
        <v>0</v>
      </c>
      <c r="T43" s="26">
        <v>100643</v>
      </c>
      <c r="U43" s="12">
        <v>154020</v>
      </c>
      <c r="V43" s="26">
        <v>55215</v>
      </c>
      <c r="W43" s="12">
        <f t="shared" si="0"/>
        <v>639643</v>
      </c>
      <c r="X43" s="12">
        <f t="shared" si="1"/>
        <v>32728186</v>
      </c>
      <c r="Y43" s="26">
        <v>16883.351621000002</v>
      </c>
      <c r="Z43" s="26">
        <v>25195.209105999998</v>
      </c>
      <c r="AA43" s="26">
        <v>6213.8758239999997</v>
      </c>
      <c r="AC43" s="26">
        <v>0</v>
      </c>
      <c r="AE43" s="26">
        <v>9186.2780600000006</v>
      </c>
      <c r="AF43" s="26">
        <v>3328.9395469999999</v>
      </c>
      <c r="AG43" s="26">
        <v>15730.638843999999</v>
      </c>
      <c r="AH43" s="12">
        <f t="shared" si="2"/>
        <v>76538.293002000006</v>
      </c>
      <c r="AI43" s="12">
        <f t="shared" si="23"/>
        <v>1176978.2086119999</v>
      </c>
      <c r="AO43">
        <f t="shared" si="24"/>
        <v>41</v>
      </c>
    </row>
    <row r="44" spans="2:41" x14ac:dyDescent="0.3">
      <c r="B44" s="28">
        <v>45017</v>
      </c>
      <c r="C44" s="12">
        <v>6109.7539999999999</v>
      </c>
      <c r="D44" s="26">
        <v>18995.989000000001</v>
      </c>
      <c r="E44" s="12">
        <v>18886.429</v>
      </c>
      <c r="G44" s="12">
        <v>0</v>
      </c>
      <c r="I44" s="12">
        <v>10938.239</v>
      </c>
      <c r="J44" s="12">
        <v>28401.467000000001</v>
      </c>
      <c r="K44" s="12">
        <v>8329.7279999999992</v>
      </c>
      <c r="L44" s="12">
        <f t="shared" si="22"/>
        <v>91661.606000000014</v>
      </c>
      <c r="M44" s="12">
        <f t="shared" si="27"/>
        <v>4354703.4974514255</v>
      </c>
      <c r="N44" s="26">
        <v>113178</v>
      </c>
      <c r="O44" s="12">
        <v>76140</v>
      </c>
      <c r="P44" s="26">
        <v>130704</v>
      </c>
      <c r="R44" s="26">
        <v>0</v>
      </c>
      <c r="T44" s="26">
        <v>106902</v>
      </c>
      <c r="U44" s="12">
        <v>150659</v>
      </c>
      <c r="V44" s="26">
        <v>49634</v>
      </c>
      <c r="W44" s="12">
        <f t="shared" si="0"/>
        <v>627217</v>
      </c>
      <c r="X44" s="12">
        <f t="shared" si="1"/>
        <v>33355403</v>
      </c>
      <c r="Y44" s="26">
        <v>14668.077769</v>
      </c>
      <c r="Z44" s="26">
        <v>23183.429152000001</v>
      </c>
      <c r="AA44" s="26">
        <v>6197.6041100000002</v>
      </c>
      <c r="AC44" s="26">
        <v>0</v>
      </c>
      <c r="AE44" s="26">
        <v>7005.8182539999998</v>
      </c>
      <c r="AF44" s="26">
        <v>3878.0516689999999</v>
      </c>
      <c r="AG44" s="26">
        <v>12930.954517</v>
      </c>
      <c r="AH44" s="12">
        <f t="shared" si="2"/>
        <v>67863.935471000004</v>
      </c>
      <c r="AI44" s="12">
        <f t="shared" si="23"/>
        <v>1244842.1440829998</v>
      </c>
      <c r="AO44">
        <f t="shared" si="24"/>
        <v>42</v>
      </c>
    </row>
    <row r="45" spans="2:41" x14ac:dyDescent="0.3">
      <c r="B45" s="28">
        <v>45047</v>
      </c>
      <c r="C45" s="12">
        <v>5433.9430000000002</v>
      </c>
      <c r="D45" s="26">
        <v>17915.327000000001</v>
      </c>
      <c r="E45" s="12">
        <v>19323.748</v>
      </c>
      <c r="G45" s="12">
        <v>0</v>
      </c>
      <c r="I45" s="12">
        <v>13497.409</v>
      </c>
      <c r="J45" s="12">
        <v>26013.011999999999</v>
      </c>
      <c r="K45" s="12">
        <v>7816.8209999999999</v>
      </c>
      <c r="L45" s="12">
        <f t="shared" si="22"/>
        <v>90000.26</v>
      </c>
      <c r="M45" s="12">
        <f t="shared" si="27"/>
        <v>4444703.7574514253</v>
      </c>
      <c r="N45" s="26">
        <v>100623</v>
      </c>
      <c r="O45" s="12">
        <v>71805</v>
      </c>
      <c r="P45" s="26">
        <v>133637</v>
      </c>
      <c r="R45" s="26">
        <v>0</v>
      </c>
      <c r="T45" s="26">
        <v>131754</v>
      </c>
      <c r="U45" s="12">
        <v>137878</v>
      </c>
      <c r="V45" s="26">
        <v>46540</v>
      </c>
      <c r="W45" s="12">
        <f t="shared" si="0"/>
        <v>622237</v>
      </c>
      <c r="X45" s="12">
        <f t="shared" si="1"/>
        <v>33977640</v>
      </c>
      <c r="Y45" s="26">
        <v>13838.490889999999</v>
      </c>
      <c r="Z45" s="26">
        <v>21879.478136999998</v>
      </c>
      <c r="AA45" s="26">
        <v>5740.3985489999995</v>
      </c>
      <c r="AC45" s="26">
        <v>0</v>
      </c>
      <c r="AE45" s="26">
        <v>8659.8721179999993</v>
      </c>
      <c r="AF45" s="26">
        <v>3543.7110579999999</v>
      </c>
      <c r="AG45" s="26">
        <v>11599.28435</v>
      </c>
      <c r="AH45" s="12">
        <f t="shared" si="2"/>
        <v>65261.235101999999</v>
      </c>
      <c r="AI45" s="12">
        <f t="shared" si="23"/>
        <v>1310103.3791849997</v>
      </c>
      <c r="AO45">
        <f t="shared" si="24"/>
        <v>43</v>
      </c>
    </row>
    <row r="46" spans="2:41" x14ac:dyDescent="0.3">
      <c r="B46" s="28">
        <v>45078</v>
      </c>
      <c r="C46" s="12">
        <v>5942.0469999999996</v>
      </c>
      <c r="D46" s="26">
        <v>18413.708999999999</v>
      </c>
      <c r="E46" s="12">
        <v>21909.667000000001</v>
      </c>
      <c r="G46" s="12">
        <v>0</v>
      </c>
      <c r="I46" s="12">
        <v>15034.852000000001</v>
      </c>
      <c r="J46" s="12">
        <v>27150.948</v>
      </c>
      <c r="K46" s="12">
        <v>8379.8529999999992</v>
      </c>
      <c r="L46" s="12">
        <f t="shared" si="22"/>
        <v>96831.076000000001</v>
      </c>
      <c r="M46" s="12">
        <f t="shared" si="27"/>
        <v>4541534.8334514257</v>
      </c>
      <c r="N46" s="26">
        <v>103096</v>
      </c>
      <c r="O46" s="12">
        <v>69868</v>
      </c>
      <c r="P46" s="26">
        <v>142031</v>
      </c>
      <c r="R46" s="26">
        <v>0</v>
      </c>
      <c r="T46" s="26">
        <v>138906</v>
      </c>
      <c r="U46" s="12">
        <v>136177</v>
      </c>
      <c r="V46" s="26">
        <v>47205</v>
      </c>
      <c r="W46" s="12">
        <f t="shared" si="0"/>
        <v>637283</v>
      </c>
      <c r="X46" s="12">
        <f t="shared" si="1"/>
        <v>34614923</v>
      </c>
      <c r="Y46" s="26">
        <v>21042.242859000002</v>
      </c>
      <c r="Z46" s="26">
        <v>30478.156789000001</v>
      </c>
      <c r="AA46" s="26">
        <v>9482.2508870000001</v>
      </c>
      <c r="AC46" s="26">
        <v>0</v>
      </c>
      <c r="AE46" s="26">
        <v>13103.552919</v>
      </c>
      <c r="AF46" s="26">
        <v>5743.5182880000002</v>
      </c>
      <c r="AG46" s="26">
        <v>16280.442843000001</v>
      </c>
      <c r="AH46" s="12">
        <f t="shared" si="2"/>
        <v>96130.164585000006</v>
      </c>
      <c r="AI46" s="12">
        <f t="shared" si="23"/>
        <v>1406233.5437699996</v>
      </c>
      <c r="AO46">
        <f t="shared" si="24"/>
        <v>44</v>
      </c>
    </row>
    <row r="47" spans="2:41" x14ac:dyDescent="0.3">
      <c r="B47" s="28">
        <v>45108</v>
      </c>
      <c r="C47" s="12">
        <v>7116.567</v>
      </c>
      <c r="D47" s="26">
        <v>18162.294000000002</v>
      </c>
      <c r="E47" s="12">
        <v>25900.103999999999</v>
      </c>
      <c r="G47">
        <v>0</v>
      </c>
      <c r="I47" s="12">
        <v>17094.358</v>
      </c>
      <c r="J47" s="12">
        <v>27576.069</v>
      </c>
      <c r="K47" s="12">
        <v>8283.0840000000007</v>
      </c>
      <c r="L47" s="12">
        <f t="shared" si="22"/>
        <v>104132.47600000001</v>
      </c>
      <c r="M47" s="12">
        <f t="shared" si="27"/>
        <v>4645667.3094514254</v>
      </c>
      <c r="N47" s="26">
        <v>124167</v>
      </c>
      <c r="O47" s="12">
        <v>69111</v>
      </c>
      <c r="P47" s="26">
        <v>159713</v>
      </c>
      <c r="R47" s="29">
        <v>0</v>
      </c>
      <c r="T47" s="26">
        <v>150546</v>
      </c>
      <c r="U47" s="12">
        <v>126526</v>
      </c>
      <c r="V47" s="26">
        <v>41639</v>
      </c>
      <c r="W47" s="12">
        <f t="shared" si="0"/>
        <v>671702</v>
      </c>
      <c r="X47" s="12">
        <f t="shared" si="1"/>
        <v>35286625</v>
      </c>
      <c r="Y47" s="26">
        <v>18408.275892000001</v>
      </c>
      <c r="Z47" s="26">
        <v>23466.149377000002</v>
      </c>
      <c r="AA47" s="26">
        <v>10034.992221</v>
      </c>
      <c r="AC47" s="29">
        <v>0</v>
      </c>
      <c r="AE47" s="26">
        <v>11366.190655</v>
      </c>
      <c r="AF47" s="26">
        <v>6217.8824269999996</v>
      </c>
      <c r="AG47" s="26">
        <v>13938.800621</v>
      </c>
      <c r="AH47" s="12">
        <f t="shared" si="2"/>
        <v>83432.291192999997</v>
      </c>
      <c r="AI47" s="12">
        <f t="shared" si="23"/>
        <v>1489665.8349629997</v>
      </c>
      <c r="AO47">
        <f t="shared" si="24"/>
        <v>45</v>
      </c>
    </row>
    <row r="48" spans="2:41" x14ac:dyDescent="0.3">
      <c r="B48" s="28">
        <v>45139</v>
      </c>
      <c r="C48" s="12">
        <v>7031.59</v>
      </c>
      <c r="D48" s="26">
        <v>17342.059000000001</v>
      </c>
      <c r="E48" s="12">
        <v>21961.391</v>
      </c>
      <c r="G48">
        <v>0</v>
      </c>
      <c r="I48" s="12">
        <v>20185.294999999998</v>
      </c>
      <c r="J48" s="12">
        <v>26384.449000000001</v>
      </c>
      <c r="K48" s="12">
        <v>6939.6170000000002</v>
      </c>
      <c r="L48" s="12">
        <f t="shared" si="22"/>
        <v>99844.400999999983</v>
      </c>
      <c r="M48" s="12">
        <f t="shared" si="27"/>
        <v>4745511.7104514251</v>
      </c>
      <c r="N48" s="26">
        <v>105344</v>
      </c>
      <c r="O48" s="12">
        <v>59669</v>
      </c>
      <c r="P48" s="26">
        <v>111622</v>
      </c>
      <c r="R48" s="29">
        <v>0</v>
      </c>
      <c r="T48" s="26">
        <v>148134</v>
      </c>
      <c r="U48" s="12">
        <v>94825</v>
      </c>
      <c r="V48" s="26">
        <v>25285</v>
      </c>
      <c r="W48" s="12">
        <f t="shared" si="0"/>
        <v>544879</v>
      </c>
      <c r="X48" s="12">
        <f t="shared" si="1"/>
        <v>35831504</v>
      </c>
      <c r="Y48" s="26">
        <v>17299.50995</v>
      </c>
      <c r="Z48" s="26">
        <v>23742.850256000002</v>
      </c>
      <c r="AA48" s="26">
        <v>9365.1662610000003</v>
      </c>
      <c r="AC48" s="29">
        <v>0</v>
      </c>
      <c r="AE48" s="26">
        <v>14071.949395</v>
      </c>
      <c r="AF48" s="26">
        <v>7018.2154499999997</v>
      </c>
      <c r="AG48" s="26">
        <v>11957.966485999999</v>
      </c>
      <c r="AH48" s="12">
        <f t="shared" si="2"/>
        <v>83455.657798</v>
      </c>
      <c r="AI48" s="12">
        <f t="shared" si="23"/>
        <v>1573121.4927609996</v>
      </c>
      <c r="AO48">
        <f t="shared" si="24"/>
        <v>46</v>
      </c>
    </row>
    <row r="49" spans="2:41" x14ac:dyDescent="0.3">
      <c r="B49" s="28">
        <v>45170</v>
      </c>
      <c r="C49" s="12">
        <v>7768.451</v>
      </c>
      <c r="D49" s="26">
        <v>7728.4409999999998</v>
      </c>
      <c r="E49" s="12">
        <v>19115.058000000001</v>
      </c>
      <c r="G49">
        <v>0</v>
      </c>
      <c r="I49" s="12">
        <v>19322.771000000001</v>
      </c>
      <c r="J49" s="12">
        <v>25309.42</v>
      </c>
      <c r="K49" s="12">
        <v>6219.75</v>
      </c>
      <c r="L49" s="12">
        <f t="shared" si="22"/>
        <v>85463.891000000003</v>
      </c>
      <c r="M49" s="12">
        <f t="shared" si="27"/>
        <v>4830975.6014514249</v>
      </c>
      <c r="N49" s="26">
        <v>106438</v>
      </c>
      <c r="O49" s="12">
        <v>20768</v>
      </c>
      <c r="P49" s="26">
        <v>86029</v>
      </c>
      <c r="R49" s="29">
        <v>0</v>
      </c>
      <c r="T49" s="26">
        <v>127399</v>
      </c>
      <c r="U49" s="12">
        <v>81788</v>
      </c>
      <c r="V49" s="26">
        <v>20174</v>
      </c>
      <c r="W49" s="12">
        <f t="shared" si="0"/>
        <v>442596</v>
      </c>
      <c r="X49" s="12">
        <f t="shared" si="1"/>
        <v>36274100</v>
      </c>
      <c r="Y49" s="26">
        <v>18778.883487999999</v>
      </c>
      <c r="Z49" s="26">
        <v>8427.8036580000007</v>
      </c>
      <c r="AA49" s="26">
        <v>8445.1257659999992</v>
      </c>
      <c r="AC49" s="29">
        <v>0</v>
      </c>
      <c r="AE49" s="26">
        <v>14145.722460000001</v>
      </c>
      <c r="AF49" s="26">
        <v>7703.3759419999997</v>
      </c>
      <c r="AG49" s="26">
        <v>11007.288376</v>
      </c>
      <c r="AH49" s="12">
        <f t="shared" si="2"/>
        <v>68508.199689999994</v>
      </c>
      <c r="AI49" s="12">
        <f t="shared" si="23"/>
        <v>1641629.6924509995</v>
      </c>
      <c r="AO49">
        <f t="shared" si="24"/>
        <v>47</v>
      </c>
    </row>
    <row r="50" spans="2:41" x14ac:dyDescent="0.3">
      <c r="B50" s="28">
        <v>45200</v>
      </c>
      <c r="C50" s="12">
        <v>8925.33</v>
      </c>
      <c r="D50" s="26">
        <v>1149.154</v>
      </c>
      <c r="E50" s="12">
        <v>23083.048999999999</v>
      </c>
      <c r="G50">
        <v>0</v>
      </c>
      <c r="I50" s="12">
        <v>19451.498</v>
      </c>
      <c r="J50" s="12">
        <v>26142.432000000001</v>
      </c>
      <c r="K50" s="12">
        <v>7943.7160000000003</v>
      </c>
      <c r="L50" s="12">
        <f t="shared" si="22"/>
        <v>86695.178999999989</v>
      </c>
      <c r="M50" s="12">
        <f t="shared" si="27"/>
        <v>4917670.7804514244</v>
      </c>
      <c r="N50" s="26">
        <v>146821</v>
      </c>
      <c r="O50" s="12">
        <v>4458</v>
      </c>
      <c r="P50" s="26">
        <v>124606</v>
      </c>
      <c r="R50" s="29">
        <v>0</v>
      </c>
      <c r="T50" s="26">
        <v>154194</v>
      </c>
      <c r="U50" s="12">
        <v>101417</v>
      </c>
      <c r="V50" s="26">
        <v>30825</v>
      </c>
      <c r="W50" s="12">
        <f t="shared" si="0"/>
        <v>562321</v>
      </c>
      <c r="X50" s="12">
        <f t="shared" si="1"/>
        <v>36836421</v>
      </c>
      <c r="Y50" s="26">
        <v>21607.922313999999</v>
      </c>
      <c r="Z50" s="26">
        <v>1464.56735</v>
      </c>
      <c r="AA50" s="26">
        <v>10286.099907</v>
      </c>
      <c r="AC50" s="29">
        <v>0</v>
      </c>
      <c r="AE50" s="26">
        <v>14354.613009999999</v>
      </c>
      <c r="AF50" s="26">
        <v>8304.15877</v>
      </c>
      <c r="AG50" s="26">
        <v>12723.070335</v>
      </c>
      <c r="AH50" s="12">
        <f t="shared" si="2"/>
        <v>68740.431686000011</v>
      </c>
      <c r="AI50" s="12">
        <f t="shared" si="23"/>
        <v>1710370.1241369995</v>
      </c>
      <c r="AO50">
        <f t="shared" si="24"/>
        <v>48</v>
      </c>
    </row>
    <row r="51" spans="2:41" x14ac:dyDescent="0.3">
      <c r="B51" s="28">
        <v>45231</v>
      </c>
      <c r="C51" s="12">
        <v>8269.5040000000008</v>
      </c>
      <c r="D51" s="26">
        <v>17747.837</v>
      </c>
      <c r="E51" s="12">
        <v>23058.662</v>
      </c>
      <c r="G51">
        <v>0</v>
      </c>
      <c r="I51" s="12">
        <v>18158.902999999998</v>
      </c>
      <c r="J51" s="12">
        <v>24202.440999999999</v>
      </c>
      <c r="K51" s="12">
        <v>8141.6809999999996</v>
      </c>
      <c r="L51" s="12">
        <f t="shared" si="22"/>
        <v>99579.027999999977</v>
      </c>
      <c r="M51" s="12">
        <f t="shared" si="27"/>
        <v>5017249.8084514244</v>
      </c>
      <c r="N51" s="26">
        <v>126785</v>
      </c>
      <c r="O51" s="12">
        <v>128537</v>
      </c>
      <c r="P51" s="26">
        <v>156429</v>
      </c>
      <c r="R51" s="29">
        <v>0</v>
      </c>
      <c r="T51" s="26">
        <v>159014</v>
      </c>
      <c r="U51" s="12">
        <v>141998</v>
      </c>
      <c r="V51" s="26">
        <v>45353</v>
      </c>
      <c r="W51" s="12">
        <f t="shared" si="0"/>
        <v>758116</v>
      </c>
      <c r="X51" s="12">
        <f t="shared" si="1"/>
        <v>37594537</v>
      </c>
      <c r="Y51" s="26">
        <v>21542.621607000001</v>
      </c>
      <c r="Z51" s="26">
        <v>21564.126434999998</v>
      </c>
      <c r="AA51" s="26">
        <v>11554.972707999999</v>
      </c>
      <c r="AC51" s="29">
        <v>0</v>
      </c>
      <c r="AE51" s="26">
        <v>14203.003667999999</v>
      </c>
      <c r="AF51" s="26">
        <v>8767.8050870000006</v>
      </c>
      <c r="AG51" s="26">
        <v>13846.120416</v>
      </c>
      <c r="AH51" s="12">
        <f t="shared" si="2"/>
        <v>91478.649921000004</v>
      </c>
      <c r="AI51" s="12">
        <f t="shared" si="23"/>
        <v>1801848.7740579995</v>
      </c>
      <c r="AO51">
        <f t="shared" si="24"/>
        <v>49</v>
      </c>
    </row>
    <row r="52" spans="2:41" x14ac:dyDescent="0.3">
      <c r="B52" s="28">
        <v>45261</v>
      </c>
      <c r="C52" s="12">
        <v>9167.9060000000009</v>
      </c>
      <c r="D52" s="26">
        <v>18325.684000000001</v>
      </c>
      <c r="E52" s="12">
        <v>22717.611000000001</v>
      </c>
      <c r="G52">
        <v>0</v>
      </c>
      <c r="I52" s="12">
        <v>18187.061000000002</v>
      </c>
      <c r="J52" s="12">
        <v>23871.670999999998</v>
      </c>
      <c r="K52" s="12">
        <v>7446.415</v>
      </c>
      <c r="L52" s="12">
        <f t="shared" si="22"/>
        <v>99716.347999999998</v>
      </c>
      <c r="M52" s="12">
        <f t="shared" si="27"/>
        <v>5116966.1564514246</v>
      </c>
      <c r="N52" s="26">
        <v>94316</v>
      </c>
      <c r="O52" s="12">
        <v>197158</v>
      </c>
      <c r="P52" s="26">
        <v>247032</v>
      </c>
      <c r="R52" s="29">
        <v>0</v>
      </c>
      <c r="T52" s="26">
        <v>208848</v>
      </c>
      <c r="U52" s="12">
        <v>259829</v>
      </c>
      <c r="V52" s="26">
        <v>86474</v>
      </c>
      <c r="W52" s="12">
        <f t="shared" si="0"/>
        <v>1093657</v>
      </c>
      <c r="X52" s="12">
        <f t="shared" si="1"/>
        <v>38688194</v>
      </c>
      <c r="Y52" s="26">
        <v>24274.055315000001</v>
      </c>
      <c r="Z52" s="26">
        <v>17851.911635</v>
      </c>
      <c r="AA52" s="26">
        <v>15876.669132000001</v>
      </c>
      <c r="AC52" s="29">
        <v>0</v>
      </c>
      <c r="AE52" s="26">
        <v>17818.670038</v>
      </c>
      <c r="AF52" s="26">
        <v>12150.635639</v>
      </c>
      <c r="AG52" s="26">
        <v>17197.501971999998</v>
      </c>
      <c r="AH52" s="12">
        <f t="shared" si="2"/>
        <v>105169.44373100001</v>
      </c>
      <c r="AI52" s="12">
        <f t="shared" si="23"/>
        <v>1907018.2177889994</v>
      </c>
      <c r="AO52">
        <f t="shared" si="24"/>
        <v>50</v>
      </c>
    </row>
    <row r="53" spans="2:41" x14ac:dyDescent="0.3">
      <c r="B53" s="28">
        <v>45292</v>
      </c>
      <c r="C53" s="12">
        <v>10615.89</v>
      </c>
      <c r="D53" s="26">
        <v>15724.532999999999</v>
      </c>
      <c r="E53" s="12">
        <v>21282.964</v>
      </c>
      <c r="G53">
        <v>0</v>
      </c>
      <c r="I53" s="12">
        <v>17820.918000000001</v>
      </c>
      <c r="J53" s="12">
        <v>22238.669000000002</v>
      </c>
      <c r="K53" s="12">
        <v>6854.17</v>
      </c>
      <c r="L53" s="12">
        <f t="shared" si="22"/>
        <v>94537.144000000015</v>
      </c>
      <c r="M53" s="12">
        <f t="shared" si="27"/>
        <v>5211503.3004514249</v>
      </c>
      <c r="N53" s="26">
        <v>91381</v>
      </c>
      <c r="O53" s="12">
        <v>145435</v>
      </c>
      <c r="P53" s="26">
        <v>230979</v>
      </c>
      <c r="R53" s="29">
        <v>0</v>
      </c>
      <c r="T53" s="26">
        <v>216068</v>
      </c>
      <c r="U53" s="12">
        <v>245252</v>
      </c>
      <c r="V53" s="26">
        <v>87688</v>
      </c>
      <c r="W53" s="12">
        <f t="shared" si="0"/>
        <v>1016803</v>
      </c>
      <c r="X53" s="12">
        <f t="shared" si="1"/>
        <v>39704997</v>
      </c>
      <c r="Y53" s="26">
        <v>22682.616408000002</v>
      </c>
      <c r="Z53" s="26">
        <v>22649.720754999998</v>
      </c>
      <c r="AA53" s="26">
        <v>16354.461208000001</v>
      </c>
      <c r="AC53" s="29">
        <v>0</v>
      </c>
      <c r="AE53" s="26">
        <v>18499.327037999999</v>
      </c>
      <c r="AF53" s="26">
        <v>13215.222028</v>
      </c>
      <c r="AG53" s="26">
        <v>19138.018488999998</v>
      </c>
      <c r="AH53" s="12">
        <f t="shared" si="2"/>
        <v>112539.365926</v>
      </c>
      <c r="AI53" s="12">
        <f t="shared" si="23"/>
        <v>2019557.5837149995</v>
      </c>
      <c r="AO53">
        <f t="shared" si="24"/>
        <v>51</v>
      </c>
    </row>
    <row r="54" spans="2:41" x14ac:dyDescent="0.3">
      <c r="B54" s="28">
        <v>45323</v>
      </c>
      <c r="C54" s="12">
        <v>10346.300999999999</v>
      </c>
      <c r="D54" s="26">
        <v>15010.817999999999</v>
      </c>
      <c r="E54" s="12">
        <v>20801.54</v>
      </c>
      <c r="G54">
        <v>0</v>
      </c>
      <c r="I54" s="12">
        <v>17730.506000000001</v>
      </c>
      <c r="J54" s="12">
        <v>21214.396000000001</v>
      </c>
      <c r="K54" s="12">
        <v>7071.4660000000003</v>
      </c>
      <c r="L54" s="12">
        <f t="shared" si="22"/>
        <v>92175.027000000002</v>
      </c>
      <c r="M54" s="12">
        <f t="shared" si="27"/>
        <v>5303678.3274514247</v>
      </c>
      <c r="N54" s="26">
        <v>82276</v>
      </c>
      <c r="O54" s="12">
        <v>128212</v>
      </c>
      <c r="P54" s="26">
        <v>207961</v>
      </c>
      <c r="R54" s="29">
        <v>0</v>
      </c>
      <c r="T54" s="26">
        <v>198578</v>
      </c>
      <c r="U54" s="12">
        <v>216852</v>
      </c>
      <c r="V54" s="26">
        <v>83809</v>
      </c>
      <c r="W54" s="12">
        <f t="shared" si="0"/>
        <v>917688</v>
      </c>
      <c r="X54" s="12">
        <f t="shared" si="1"/>
        <v>40622685</v>
      </c>
      <c r="Y54" s="26">
        <v>20439.648571000002</v>
      </c>
      <c r="Z54" s="26">
        <v>20539.505434999999</v>
      </c>
      <c r="AA54" s="26">
        <v>14778.853728</v>
      </c>
      <c r="AC54" s="29">
        <v>0</v>
      </c>
      <c r="AE54" s="26">
        <v>16216.802643999999</v>
      </c>
      <c r="AF54" s="26">
        <v>12038.331259000001</v>
      </c>
      <c r="AG54" s="26">
        <v>16587.391371999998</v>
      </c>
      <c r="AH54" s="12">
        <f t="shared" si="2"/>
        <v>100600.53300899999</v>
      </c>
      <c r="AI54" s="12">
        <f t="shared" si="23"/>
        <v>2120158.1167239994</v>
      </c>
      <c r="AO54">
        <f t="shared" si="24"/>
        <v>52</v>
      </c>
    </row>
    <row r="55" spans="2:41" x14ac:dyDescent="0.3">
      <c r="B55" s="28">
        <v>45352</v>
      </c>
      <c r="C55" s="12">
        <v>9884.9969999999994</v>
      </c>
      <c r="D55" s="26">
        <v>15192.608</v>
      </c>
      <c r="E55" s="12">
        <v>21852.15</v>
      </c>
      <c r="G55">
        <v>0</v>
      </c>
      <c r="I55" s="12">
        <v>18664.423999999999</v>
      </c>
      <c r="J55" s="12">
        <v>22545.865000000002</v>
      </c>
      <c r="K55" s="12">
        <v>7770.9930000000004</v>
      </c>
      <c r="L55" s="12">
        <f t="shared" si="22"/>
        <v>95911.037000000011</v>
      </c>
      <c r="M55" s="12">
        <f t="shared" si="27"/>
        <v>5399589.3644514252</v>
      </c>
      <c r="N55" s="26">
        <v>100423</v>
      </c>
      <c r="O55" s="12">
        <v>103277</v>
      </c>
      <c r="P55" s="26">
        <v>161675</v>
      </c>
      <c r="R55" s="29">
        <v>0</v>
      </c>
      <c r="T55" s="26">
        <v>180462</v>
      </c>
      <c r="U55" s="12">
        <v>164412</v>
      </c>
      <c r="V55" s="26">
        <v>59154</v>
      </c>
      <c r="W55" s="12">
        <f t="shared" si="0"/>
        <v>769403</v>
      </c>
      <c r="X55" s="12">
        <f t="shared" si="1"/>
        <v>41392088</v>
      </c>
      <c r="Y55" s="26">
        <v>24075.574388000001</v>
      </c>
      <c r="Z55" s="26">
        <v>24337.739539999999</v>
      </c>
      <c r="AA55" s="26">
        <v>16047.569288000001</v>
      </c>
      <c r="AC55" s="29">
        <v>0</v>
      </c>
      <c r="AE55" s="26">
        <v>18204.819734000001</v>
      </c>
      <c r="AF55" s="26">
        <v>13216.190656999999</v>
      </c>
      <c r="AG55" s="26">
        <v>18468.758608</v>
      </c>
      <c r="AH55" s="12">
        <f t="shared" si="2"/>
        <v>114350.65221500001</v>
      </c>
      <c r="AI55" s="12">
        <f t="shared" si="23"/>
        <v>2234508.7689389996</v>
      </c>
      <c r="AO55">
        <f t="shared" si="24"/>
        <v>53</v>
      </c>
    </row>
    <row r="56" spans="2:41" x14ac:dyDescent="0.3">
      <c r="B56" s="28">
        <v>45383</v>
      </c>
      <c r="C56" s="12">
        <v>8122.6019999999999</v>
      </c>
      <c r="D56" s="26">
        <v>13680.344999999999</v>
      </c>
      <c r="E56" s="12">
        <v>20968.560000000001</v>
      </c>
      <c r="G56">
        <v>0</v>
      </c>
      <c r="I56" s="12">
        <v>18222.264999999999</v>
      </c>
      <c r="J56" s="12">
        <v>21957.432000000001</v>
      </c>
      <c r="K56" s="12">
        <v>7950.6</v>
      </c>
      <c r="L56" s="12">
        <f t="shared" si="22"/>
        <v>90901.804000000004</v>
      </c>
      <c r="M56" s="12">
        <f t="shared" si="27"/>
        <v>5490491.1684514247</v>
      </c>
      <c r="N56" s="26">
        <v>141825</v>
      </c>
      <c r="O56" s="12">
        <v>70745</v>
      </c>
      <c r="P56" s="26">
        <v>124225</v>
      </c>
      <c r="R56" s="29">
        <v>0</v>
      </c>
      <c r="T56" s="26">
        <v>175259</v>
      </c>
      <c r="U56" s="12">
        <v>114749</v>
      </c>
      <c r="V56" s="26">
        <v>26982</v>
      </c>
      <c r="W56" s="12">
        <f t="shared" si="0"/>
        <v>653785</v>
      </c>
      <c r="X56" s="12">
        <f t="shared" si="1"/>
        <v>42045873</v>
      </c>
      <c r="Y56" s="26">
        <v>27065.65725</v>
      </c>
      <c r="Z56" s="26">
        <v>24043.747995999998</v>
      </c>
      <c r="AA56" s="26">
        <v>18189.353115000002</v>
      </c>
      <c r="AC56" s="29">
        <v>0</v>
      </c>
      <c r="AE56" s="26">
        <v>17903.783614</v>
      </c>
      <c r="AF56" s="26">
        <v>13973.381942</v>
      </c>
      <c r="AG56" s="26">
        <v>18046.763348</v>
      </c>
      <c r="AH56" s="12">
        <f t="shared" si="2"/>
        <v>119222.68726500002</v>
      </c>
      <c r="AI56" s="12">
        <f t="shared" si="23"/>
        <v>2353731.4562039995</v>
      </c>
      <c r="AO56">
        <f t="shared" si="24"/>
        <v>54</v>
      </c>
    </row>
    <row r="57" spans="2:41" x14ac:dyDescent="0.3">
      <c r="B57" s="28">
        <v>45413</v>
      </c>
      <c r="C57" s="12">
        <v>10157.803</v>
      </c>
      <c r="D57" s="26">
        <v>13725.458000000001</v>
      </c>
      <c r="E57" s="12">
        <v>20126.666000000001</v>
      </c>
      <c r="G57">
        <v>0</v>
      </c>
      <c r="I57" s="12">
        <v>18410.935000000001</v>
      </c>
      <c r="J57" s="12">
        <v>21238.15</v>
      </c>
      <c r="K57" s="12">
        <v>5604.3729999999996</v>
      </c>
      <c r="L57" s="12">
        <f t="shared" si="22"/>
        <v>89263.38499999998</v>
      </c>
      <c r="M57" s="12">
        <f t="shared" si="27"/>
        <v>5579754.5534514245</v>
      </c>
      <c r="N57" s="26">
        <v>143383</v>
      </c>
      <c r="O57" s="12">
        <v>75572</v>
      </c>
      <c r="P57" s="26">
        <v>130241</v>
      </c>
      <c r="R57" s="29">
        <v>0</v>
      </c>
      <c r="T57" s="26">
        <v>183934</v>
      </c>
      <c r="U57" s="12">
        <v>112970</v>
      </c>
      <c r="V57" s="26">
        <v>31264</v>
      </c>
      <c r="W57" s="12">
        <f t="shared" si="0"/>
        <v>677364</v>
      </c>
      <c r="X57" s="12">
        <f t="shared" si="1"/>
        <v>42723237</v>
      </c>
      <c r="Y57" s="26">
        <v>20187.352113000001</v>
      </c>
      <c r="Z57" s="26">
        <v>19888.140036000001</v>
      </c>
      <c r="AA57" s="26">
        <v>14896.75603</v>
      </c>
      <c r="AC57" s="29">
        <v>0</v>
      </c>
      <c r="AE57" s="26">
        <v>15547.215695000001</v>
      </c>
      <c r="AF57" s="26">
        <v>12721.271456</v>
      </c>
      <c r="AG57" s="26">
        <v>18030.516792999999</v>
      </c>
      <c r="AH57" s="12">
        <f t="shared" si="2"/>
        <v>101271.25212300001</v>
      </c>
      <c r="AI57" s="12">
        <f t="shared" si="23"/>
        <v>2455002.7083269996</v>
      </c>
      <c r="AO57">
        <f t="shared" si="24"/>
        <v>55</v>
      </c>
    </row>
    <row r="58" spans="2:41" x14ac:dyDescent="0.3">
      <c r="B58" s="28">
        <v>45444</v>
      </c>
      <c r="C58" s="12">
        <v>10024.050999999999</v>
      </c>
      <c r="D58" s="26">
        <v>12907.647999999999</v>
      </c>
      <c r="E58" s="12">
        <v>18187.481</v>
      </c>
      <c r="G58">
        <v>0</v>
      </c>
      <c r="I58" s="12">
        <v>17403.195</v>
      </c>
      <c r="J58" s="12">
        <v>18637.044999999998</v>
      </c>
      <c r="K58" s="12">
        <v>5719.8230000000003</v>
      </c>
      <c r="L58" s="12">
        <f t="shared" si="22"/>
        <v>82879.243000000002</v>
      </c>
      <c r="M58" s="12">
        <f t="shared" si="27"/>
        <v>5662633.7964514242</v>
      </c>
      <c r="N58" s="26">
        <v>128173</v>
      </c>
      <c r="O58" s="12">
        <v>77280</v>
      </c>
      <c r="P58" s="26">
        <v>126206</v>
      </c>
      <c r="R58" s="29">
        <v>0</v>
      </c>
      <c r="T58" s="26">
        <v>186444</v>
      </c>
      <c r="U58" s="12">
        <v>128099</v>
      </c>
      <c r="V58" s="26">
        <v>40294</v>
      </c>
      <c r="W58" s="12">
        <f t="shared" si="0"/>
        <v>686496</v>
      </c>
      <c r="X58" s="12">
        <f t="shared" si="1"/>
        <v>43409733</v>
      </c>
      <c r="Y58" s="26">
        <v>20515.792889</v>
      </c>
      <c r="Z58" s="26">
        <v>24954.026723999999</v>
      </c>
      <c r="AA58" s="26">
        <v>16215.249064</v>
      </c>
      <c r="AC58" s="29">
        <v>0</v>
      </c>
      <c r="AE58" s="26">
        <v>18231.457031999998</v>
      </c>
      <c r="AF58" s="26">
        <v>12868.735812999999</v>
      </c>
      <c r="AG58" s="26">
        <v>20238.148539000002</v>
      </c>
      <c r="AH58" s="12">
        <f t="shared" si="2"/>
        <v>113023.41006100002</v>
      </c>
      <c r="AI58" s="12">
        <f t="shared" si="23"/>
        <v>2568026.1183879995</v>
      </c>
      <c r="AO58">
        <f t="shared" si="24"/>
        <v>56</v>
      </c>
    </row>
    <row r="59" spans="2:41" x14ac:dyDescent="0.3">
      <c r="B59" s="28">
        <v>45474</v>
      </c>
      <c r="C59" s="12">
        <v>8768.08</v>
      </c>
      <c r="D59" s="26">
        <v>13544.209000000001</v>
      </c>
      <c r="E59" s="12">
        <v>18566.488000000001</v>
      </c>
      <c r="G59">
        <v>0</v>
      </c>
      <c r="I59" s="12">
        <v>18083.77</v>
      </c>
      <c r="J59" s="12">
        <v>19077.952000000001</v>
      </c>
      <c r="K59" s="12">
        <v>7386.3289999999997</v>
      </c>
      <c r="L59" s="12">
        <f t="shared" si="22"/>
        <v>85426.828000000009</v>
      </c>
      <c r="M59" s="12">
        <f t="shared" si="27"/>
        <v>5748060.624451424</v>
      </c>
      <c r="N59" s="26">
        <v>106084</v>
      </c>
      <c r="O59" s="12">
        <v>81710</v>
      </c>
      <c r="P59" s="26">
        <v>128201</v>
      </c>
      <c r="R59" s="29">
        <v>0</v>
      </c>
      <c r="T59" s="26">
        <v>142934</v>
      </c>
      <c r="U59" s="12">
        <v>159604</v>
      </c>
      <c r="V59" s="26">
        <v>52174</v>
      </c>
      <c r="W59" s="12">
        <f t="shared" si="0"/>
        <v>670707</v>
      </c>
      <c r="X59" s="12">
        <f t="shared" si="1"/>
        <v>44080440</v>
      </c>
      <c r="Y59" s="26">
        <v>25773.040452000001</v>
      </c>
      <c r="Z59" s="26">
        <v>36031.157038999998</v>
      </c>
      <c r="AA59" s="26">
        <v>19379.924196</v>
      </c>
      <c r="AC59" s="29">
        <v>0</v>
      </c>
      <c r="AE59" s="26">
        <v>19704.433850000001</v>
      </c>
      <c r="AF59" s="26">
        <v>15004.519172</v>
      </c>
      <c r="AG59" s="26">
        <v>25126.002435999999</v>
      </c>
      <c r="AH59" s="12">
        <f t="shared" si="2"/>
        <v>141019.07714500002</v>
      </c>
      <c r="AI59" s="12">
        <f t="shared" si="23"/>
        <v>2709045.1955329995</v>
      </c>
      <c r="AO59">
        <f t="shared" si="24"/>
        <v>57</v>
      </c>
    </row>
    <row r="60" spans="2:41" x14ac:dyDescent="0.3">
      <c r="B60" s="28">
        <v>45505</v>
      </c>
      <c r="C60" s="12">
        <v>8762.2880000000005</v>
      </c>
      <c r="D60" s="26">
        <v>13945.527</v>
      </c>
      <c r="E60" s="12">
        <v>18721.722000000002</v>
      </c>
      <c r="G60">
        <v>0</v>
      </c>
      <c r="I60" s="12">
        <v>18236.850999999999</v>
      </c>
      <c r="J60" s="12">
        <v>20752.248</v>
      </c>
      <c r="K60" s="12">
        <v>9451.2129999999997</v>
      </c>
      <c r="L60" s="12">
        <f t="shared" si="22"/>
        <v>89869.849000000002</v>
      </c>
      <c r="M60" s="12">
        <f t="shared" si="27"/>
        <v>5837930.4734514244</v>
      </c>
      <c r="N60" s="26">
        <v>100438</v>
      </c>
      <c r="O60" s="12">
        <v>79663</v>
      </c>
      <c r="P60" s="29">
        <v>122417</v>
      </c>
      <c r="R60" s="29">
        <v>0</v>
      </c>
      <c r="T60" s="26">
        <v>119213</v>
      </c>
      <c r="U60" s="12">
        <v>164378</v>
      </c>
      <c r="V60" s="26">
        <v>62954</v>
      </c>
      <c r="W60" s="12">
        <f t="shared" si="0"/>
        <v>649063</v>
      </c>
      <c r="X60" s="12">
        <f t="shared" si="1"/>
        <v>44729503</v>
      </c>
      <c r="Y60" s="26">
        <v>25305.972484999998</v>
      </c>
      <c r="Z60" s="26">
        <v>35208.331692</v>
      </c>
      <c r="AA60" s="26">
        <v>18659.440188</v>
      </c>
      <c r="AC60" s="29">
        <v>0</v>
      </c>
      <c r="AE60" s="26">
        <v>18521.322467999998</v>
      </c>
      <c r="AF60" s="26">
        <v>15133.548133</v>
      </c>
      <c r="AG60" s="26">
        <v>25791.507303999999</v>
      </c>
      <c r="AH60" s="12">
        <f t="shared" si="2"/>
        <v>138620.12226999999</v>
      </c>
      <c r="AI60" s="12">
        <f t="shared" si="23"/>
        <v>2847665.3178029996</v>
      </c>
      <c r="AO60">
        <f t="shared" si="24"/>
        <v>58</v>
      </c>
    </row>
    <row r="61" spans="2:41" x14ac:dyDescent="0.3">
      <c r="B61" s="28">
        <v>45536</v>
      </c>
      <c r="C61" s="12">
        <v>7449.0820000000003</v>
      </c>
      <c r="D61" s="26">
        <v>10688.588</v>
      </c>
      <c r="E61" s="12">
        <v>17798.917000000001</v>
      </c>
      <c r="G61">
        <v>0</v>
      </c>
      <c r="I61" s="12">
        <v>17177.623</v>
      </c>
      <c r="J61" s="12">
        <v>19313.012999999999</v>
      </c>
      <c r="K61" s="12">
        <v>11234.102999999999</v>
      </c>
      <c r="L61" s="12">
        <f t="shared" si="22"/>
        <v>83661.326000000001</v>
      </c>
      <c r="M61" s="12">
        <f t="shared" si="27"/>
        <v>5921591.7994514247</v>
      </c>
      <c r="N61" s="26">
        <v>84468</v>
      </c>
      <c r="O61" s="12">
        <v>60407</v>
      </c>
      <c r="P61" s="29">
        <v>114744</v>
      </c>
      <c r="R61" s="29">
        <v>0</v>
      </c>
      <c r="T61" s="26">
        <v>110749</v>
      </c>
      <c r="U61" s="12">
        <v>150784</v>
      </c>
      <c r="V61" s="26">
        <v>73985</v>
      </c>
      <c r="W61" s="12">
        <f t="shared" si="0"/>
        <v>595137</v>
      </c>
      <c r="X61" s="12">
        <f t="shared" si="1"/>
        <v>45324640</v>
      </c>
      <c r="Y61" s="26">
        <v>22608.623202999999</v>
      </c>
      <c r="Z61" s="26">
        <v>25657.289262999999</v>
      </c>
      <c r="AA61" s="26">
        <v>17153.423054999999</v>
      </c>
      <c r="AC61" s="29">
        <v>0</v>
      </c>
      <c r="AE61" s="26">
        <v>17064.233689000001</v>
      </c>
      <c r="AF61" s="26">
        <v>13505.955454999999</v>
      </c>
      <c r="AG61" s="26">
        <v>23279.354894</v>
      </c>
      <c r="AH61" s="12">
        <f t="shared" si="2"/>
        <v>119268.87955899999</v>
      </c>
      <c r="AI61" s="12">
        <f t="shared" si="23"/>
        <v>2966934.1973619997</v>
      </c>
      <c r="AO61">
        <f t="shared" si="24"/>
        <v>59</v>
      </c>
    </row>
    <row r="62" spans="2:41" x14ac:dyDescent="0.3">
      <c r="B62" s="28">
        <v>45566</v>
      </c>
      <c r="C62" s="12">
        <v>7039.8239999999996</v>
      </c>
      <c r="D62" s="26">
        <v>10239.769</v>
      </c>
      <c r="E62" s="12">
        <v>17161.692999999999</v>
      </c>
      <c r="G62">
        <v>0</v>
      </c>
      <c r="I62" s="12">
        <v>17105.213</v>
      </c>
      <c r="J62" s="12">
        <v>19171.800999999999</v>
      </c>
      <c r="K62" s="12">
        <v>9611.4860000000008</v>
      </c>
      <c r="L62" s="12">
        <f t="shared" si="22"/>
        <v>80329.785999999993</v>
      </c>
      <c r="M62" s="12">
        <f t="shared" si="27"/>
        <v>6001921.5854514251</v>
      </c>
      <c r="N62" s="26">
        <v>90357</v>
      </c>
      <c r="O62" s="12">
        <v>65506</v>
      </c>
      <c r="P62" s="29">
        <v>110709</v>
      </c>
      <c r="R62" s="29">
        <v>0</v>
      </c>
      <c r="T62" s="26">
        <v>125252</v>
      </c>
      <c r="U62" s="12">
        <v>169933</v>
      </c>
      <c r="V62" s="26">
        <v>71850</v>
      </c>
      <c r="W62" s="12">
        <f t="shared" si="0"/>
        <v>633607</v>
      </c>
      <c r="X62" s="12">
        <f t="shared" si="1"/>
        <v>45958247</v>
      </c>
      <c r="Y62" s="26">
        <v>23197.461698999999</v>
      </c>
      <c r="Z62" s="26">
        <v>25409.867396000001</v>
      </c>
      <c r="AA62" s="26">
        <v>17129.892913</v>
      </c>
      <c r="AC62" s="29">
        <v>0</v>
      </c>
      <c r="AE62" s="26">
        <v>17618.427969</v>
      </c>
      <c r="AF62" s="26">
        <v>13935.938763</v>
      </c>
      <c r="AG62" s="26">
        <v>23349.083619000001</v>
      </c>
      <c r="AH62" s="12">
        <f t="shared" si="2"/>
        <v>120640.67235899999</v>
      </c>
      <c r="AI62" s="12">
        <f t="shared" si="23"/>
        <v>3087574.8697209996</v>
      </c>
      <c r="AO62">
        <f t="shared" si="24"/>
        <v>60</v>
      </c>
    </row>
    <row r="63" spans="2:41" x14ac:dyDescent="0.3">
      <c r="B63" s="28">
        <v>45597</v>
      </c>
      <c r="C63" s="12">
        <v>6858.357</v>
      </c>
      <c r="D63" s="26">
        <v>9966.5429999999997</v>
      </c>
      <c r="E63" s="12">
        <v>16421.181</v>
      </c>
      <c r="G63">
        <v>0</v>
      </c>
      <c r="I63" s="12">
        <v>16512.423999999999</v>
      </c>
      <c r="J63" s="12">
        <v>18448.258000000002</v>
      </c>
      <c r="K63" s="12">
        <v>9363.0460000000003</v>
      </c>
      <c r="L63" s="12">
        <f t="shared" si="22"/>
        <v>77569.809000000008</v>
      </c>
      <c r="M63" s="12">
        <f t="shared" si="27"/>
        <v>6079491.3944514254</v>
      </c>
      <c r="N63" s="26">
        <v>84135</v>
      </c>
      <c r="O63" s="12">
        <v>60801</v>
      </c>
      <c r="P63" s="29">
        <v>100600</v>
      </c>
      <c r="R63" s="29">
        <v>0</v>
      </c>
      <c r="T63" s="26">
        <v>115685</v>
      </c>
      <c r="U63" s="12">
        <v>156517</v>
      </c>
      <c r="V63" s="26">
        <v>66895</v>
      </c>
      <c r="W63" s="12">
        <f t="shared" si="0"/>
        <v>584633</v>
      </c>
      <c r="X63" s="12">
        <f t="shared" si="1"/>
        <v>46542880</v>
      </c>
      <c r="Y63" s="26">
        <v>22647.557065000001</v>
      </c>
      <c r="Z63" s="26">
        <v>24855.943584000001</v>
      </c>
      <c r="AA63" s="26">
        <v>16776.796122</v>
      </c>
      <c r="AC63" s="29">
        <v>0</v>
      </c>
      <c r="AE63" s="26">
        <v>16967.767025000001</v>
      </c>
      <c r="AF63" s="26">
        <v>13578.917131</v>
      </c>
      <c r="AG63" s="26">
        <v>22837.295171000002</v>
      </c>
      <c r="AH63" s="12">
        <f t="shared" si="2"/>
        <v>117664.276098</v>
      </c>
      <c r="AI63" s="12">
        <f t="shared" si="23"/>
        <v>3205239.1458189995</v>
      </c>
      <c r="AO63">
        <f t="shared" si="24"/>
        <v>61</v>
      </c>
    </row>
    <row r="64" spans="2:41" x14ac:dyDescent="0.3">
      <c r="B64" s="28">
        <v>45627</v>
      </c>
      <c r="C64" s="12">
        <v>7273.9120000000003</v>
      </c>
      <c r="D64" s="26">
        <v>10389.321</v>
      </c>
      <c r="E64" s="12">
        <v>16271.686</v>
      </c>
      <c r="G64">
        <v>0</v>
      </c>
      <c r="I64" s="12">
        <v>16622.864000000001</v>
      </c>
      <c r="J64" s="12">
        <v>18026.670999999998</v>
      </c>
      <c r="K64" s="12">
        <v>11587.97</v>
      </c>
      <c r="L64" s="12">
        <f t="shared" si="22"/>
        <v>80172.423999999999</v>
      </c>
      <c r="M64" s="12">
        <f t="shared" si="27"/>
        <v>6159663.8184514251</v>
      </c>
      <c r="N64" s="26">
        <v>74696</v>
      </c>
      <c r="O64" s="12">
        <v>52739</v>
      </c>
      <c r="P64" s="29">
        <v>83276</v>
      </c>
      <c r="R64" s="29">
        <v>0</v>
      </c>
      <c r="T64" s="26">
        <v>97486</v>
      </c>
      <c r="U64" s="12">
        <v>127950</v>
      </c>
      <c r="V64" s="26">
        <v>69548</v>
      </c>
      <c r="W64" s="12">
        <f t="shared" si="0"/>
        <v>505695</v>
      </c>
      <c r="X64" s="12">
        <f t="shared" si="1"/>
        <v>47048575</v>
      </c>
      <c r="Y64" s="26">
        <v>21831.568730999999</v>
      </c>
      <c r="Z64" s="26">
        <v>24015.896762</v>
      </c>
      <c r="AA64" s="26">
        <v>16561.565454</v>
      </c>
      <c r="AC64" s="29">
        <v>0</v>
      </c>
      <c r="AE64" s="26">
        <v>15354.879901</v>
      </c>
      <c r="AF64" s="26">
        <v>12932.684214000001</v>
      </c>
      <c r="AG64" s="26">
        <v>22802.896252999999</v>
      </c>
      <c r="AH64" s="12">
        <f t="shared" si="2"/>
        <v>113499.49131500001</v>
      </c>
      <c r="AI64" s="12">
        <f t="shared" si="23"/>
        <v>3318738.6371339997</v>
      </c>
      <c r="AO64">
        <f t="shared" si="24"/>
        <v>62</v>
      </c>
    </row>
    <row r="65" spans="2:41" x14ac:dyDescent="0.3">
      <c r="B65" s="28">
        <v>45658</v>
      </c>
      <c r="C65" s="12">
        <v>6935.13</v>
      </c>
      <c r="D65" s="26">
        <v>9189.6440000000002</v>
      </c>
      <c r="E65" s="12">
        <v>15761.683000000001</v>
      </c>
      <c r="G65">
        <v>0</v>
      </c>
      <c r="I65" s="12">
        <v>17075.982</v>
      </c>
      <c r="J65" s="12">
        <v>17623.088</v>
      </c>
      <c r="K65" s="12">
        <v>10428.099</v>
      </c>
      <c r="L65" s="12">
        <f t="shared" si="22"/>
        <v>77013.626000000004</v>
      </c>
      <c r="M65" s="12">
        <f t="shared" si="27"/>
        <v>6236677.4444514252</v>
      </c>
      <c r="N65" s="26">
        <v>66077</v>
      </c>
      <c r="O65" s="12">
        <v>43671</v>
      </c>
      <c r="P65" s="29">
        <v>74857</v>
      </c>
      <c r="R65" s="29">
        <v>0</v>
      </c>
      <c r="T65" s="26">
        <v>107264</v>
      </c>
      <c r="U65" s="12">
        <v>115964</v>
      </c>
      <c r="V65" s="26">
        <v>58002</v>
      </c>
      <c r="W65" s="12">
        <f t="shared" si="0"/>
        <v>465835</v>
      </c>
      <c r="X65" s="12">
        <f t="shared" si="1"/>
        <v>47514410</v>
      </c>
      <c r="Y65" s="26">
        <v>22607.509908</v>
      </c>
      <c r="Z65" s="26">
        <v>25507.768137999999</v>
      </c>
      <c r="AA65" s="26">
        <v>18689.631226000001</v>
      </c>
      <c r="AC65" s="29">
        <v>0</v>
      </c>
      <c r="AE65" s="26">
        <v>15935.038474999999</v>
      </c>
      <c r="AF65" s="26">
        <v>14776.249752</v>
      </c>
      <c r="AG65" s="26">
        <v>24846.867402</v>
      </c>
      <c r="AH65" s="12">
        <f t="shared" si="2"/>
        <v>122363.06490100001</v>
      </c>
      <c r="AI65" s="12">
        <f t="shared" si="23"/>
        <v>3441101.7020349996</v>
      </c>
      <c r="AO65">
        <f t="shared" si="24"/>
        <v>63</v>
      </c>
    </row>
    <row r="66" spans="2:41" x14ac:dyDescent="0.3">
      <c r="B66" s="28">
        <v>45689</v>
      </c>
      <c r="C66" s="12">
        <v>6670.6930000000002</v>
      </c>
      <c r="D66" s="26">
        <v>8651.6280000000006</v>
      </c>
      <c r="E66" s="12">
        <v>13825.91</v>
      </c>
      <c r="G66">
        <v>0</v>
      </c>
      <c r="I66" s="12">
        <v>14669.397999999999</v>
      </c>
      <c r="J66" s="12">
        <v>15689.317999999999</v>
      </c>
      <c r="K66" s="12">
        <v>9129.3070000000007</v>
      </c>
      <c r="L66" s="12">
        <f t="shared" si="22"/>
        <v>68636.254000000001</v>
      </c>
      <c r="M66" s="12">
        <f t="shared" si="27"/>
        <v>6305313.6984514249</v>
      </c>
      <c r="N66" s="26">
        <v>67473</v>
      </c>
      <c r="O66" s="12">
        <v>43635</v>
      </c>
      <c r="P66" s="29">
        <v>69478</v>
      </c>
      <c r="R66" s="29">
        <v>0</v>
      </c>
      <c r="T66" s="26">
        <v>92770</v>
      </c>
      <c r="U66" s="12">
        <v>109184</v>
      </c>
      <c r="V66" s="26">
        <v>53721</v>
      </c>
      <c r="W66" s="12">
        <f t="shared" si="0"/>
        <v>436261</v>
      </c>
      <c r="X66" s="12">
        <f t="shared" si="1"/>
        <v>47950671</v>
      </c>
      <c r="Y66" s="26">
        <v>22080.091306999999</v>
      </c>
      <c r="Z66" s="26">
        <v>24702.371829</v>
      </c>
      <c r="AA66" s="26">
        <v>18330.666051</v>
      </c>
      <c r="AC66" s="29">
        <v>0</v>
      </c>
      <c r="AE66" s="26">
        <v>16334.428196000001</v>
      </c>
      <c r="AF66" s="26">
        <v>14464.533551</v>
      </c>
      <c r="AG66" s="26">
        <v>24042.628414999999</v>
      </c>
      <c r="AH66" s="12">
        <f t="shared" si="2"/>
        <v>119954.71934900001</v>
      </c>
      <c r="AI66" s="12">
        <f t="shared" si="23"/>
        <v>3561056.4213839998</v>
      </c>
      <c r="AO66">
        <f t="shared" si="24"/>
        <v>64</v>
      </c>
    </row>
    <row r="67" spans="2:41" x14ac:dyDescent="0.3">
      <c r="B67" s="28">
        <v>45717</v>
      </c>
      <c r="C67" s="12">
        <v>7604.7939999999999</v>
      </c>
      <c r="D67" s="26">
        <v>10443.808000000001</v>
      </c>
      <c r="E67" s="12">
        <v>15077.841</v>
      </c>
      <c r="G67">
        <v>0</v>
      </c>
      <c r="I67" s="12">
        <v>15203.808000000001</v>
      </c>
      <c r="J67" s="12">
        <v>17519.331999999999</v>
      </c>
      <c r="K67" s="12">
        <v>10288.425999999999</v>
      </c>
      <c r="L67" s="12">
        <f t="shared" si="22"/>
        <v>76138.008999999991</v>
      </c>
      <c r="M67" s="12">
        <f t="shared" si="27"/>
        <v>6381451.7074514246</v>
      </c>
      <c r="N67" s="26">
        <v>78074</v>
      </c>
      <c r="O67" s="12">
        <v>53519</v>
      </c>
      <c r="P67" s="29">
        <v>77185</v>
      </c>
      <c r="R67" s="29">
        <v>0</v>
      </c>
      <c r="T67" s="26">
        <v>89086</v>
      </c>
      <c r="U67" s="12">
        <v>124392</v>
      </c>
      <c r="V67" s="26">
        <v>61744</v>
      </c>
      <c r="W67" s="12">
        <f t="shared" si="0"/>
        <v>484000</v>
      </c>
      <c r="X67" s="12">
        <f t="shared" si="1"/>
        <v>48434671</v>
      </c>
      <c r="Y67" s="26">
        <v>28338.914043000001</v>
      </c>
      <c r="Z67" s="26">
        <v>30995.398495000001</v>
      </c>
      <c r="AA67" s="26">
        <v>23247.679461</v>
      </c>
      <c r="AC67" s="29">
        <v>0</v>
      </c>
      <c r="AE67" s="26">
        <v>22429.294714</v>
      </c>
      <c r="AF67" s="26">
        <v>18305.286705999999</v>
      </c>
      <c r="AG67" s="26">
        <v>30534.318415000002</v>
      </c>
      <c r="AH67" s="12">
        <f t="shared" si="2"/>
        <v>153850.89183400001</v>
      </c>
      <c r="AI67" s="12">
        <f t="shared" si="23"/>
        <v>3714907.3132179999</v>
      </c>
      <c r="AO67">
        <f t="shared" si="24"/>
        <v>65</v>
      </c>
    </row>
    <row r="68" spans="2:41" x14ac:dyDescent="0.3">
      <c r="B68" s="28">
        <v>45748</v>
      </c>
      <c r="C68" s="12">
        <v>6749.2610000000004</v>
      </c>
      <c r="D68" s="26">
        <v>9225.2999999999993</v>
      </c>
      <c r="E68" s="12">
        <v>13106.16</v>
      </c>
      <c r="G68">
        <v>0</v>
      </c>
      <c r="I68" s="12">
        <v>13334.433999999999</v>
      </c>
      <c r="J68" s="12">
        <v>15352.074000000001</v>
      </c>
      <c r="K68" s="12">
        <v>9088.0470000000005</v>
      </c>
      <c r="L68" s="12">
        <f>SUM(C68:K68)</f>
        <v>66855.275999999998</v>
      </c>
      <c r="M68" s="12">
        <f t="shared" si="27"/>
        <v>6448306.9834514242</v>
      </c>
      <c r="N68" s="26">
        <v>78682</v>
      </c>
      <c r="O68" s="12">
        <v>53675</v>
      </c>
      <c r="P68" s="29">
        <v>76237</v>
      </c>
      <c r="R68" s="29">
        <v>0</v>
      </c>
      <c r="T68" s="26">
        <v>88773</v>
      </c>
      <c r="U68" s="12">
        <v>123795</v>
      </c>
      <c r="V68" s="26">
        <v>61916</v>
      </c>
      <c r="W68" s="12">
        <f>SUM(N68:V68)</f>
        <v>483078</v>
      </c>
      <c r="X68" s="12">
        <f t="shared" ref="X68" si="28">X67+W68</f>
        <v>48917749</v>
      </c>
      <c r="Y68" s="26">
        <v>24280.546386999999</v>
      </c>
      <c r="Z68" s="26">
        <v>26691.105948</v>
      </c>
      <c r="AA68" s="26">
        <v>20288.328560000002</v>
      </c>
      <c r="AC68" s="29">
        <v>0</v>
      </c>
      <c r="AE68" s="26">
        <v>19597.299685000002</v>
      </c>
      <c r="AF68" s="26">
        <v>15893.060351</v>
      </c>
      <c r="AG68" s="26">
        <v>26293.993136000001</v>
      </c>
      <c r="AH68" s="12">
        <f>SUM(Y68:AG68)</f>
        <v>133044.33406700002</v>
      </c>
      <c r="AI68" s="12">
        <f t="shared" si="23"/>
        <v>3847951.647285</v>
      </c>
      <c r="AO68">
        <f t="shared" si="24"/>
        <v>66</v>
      </c>
    </row>
    <row r="69" spans="2:41" x14ac:dyDescent="0.3">
      <c r="B69" s="28">
        <v>45778</v>
      </c>
      <c r="C69" s="12">
        <v>7174.4030000000002</v>
      </c>
      <c r="D69" s="26">
        <v>9472.9040000000005</v>
      </c>
      <c r="E69" s="12">
        <v>14348.94</v>
      </c>
      <c r="G69">
        <v>0</v>
      </c>
      <c r="I69" s="12">
        <v>14653.647999999999</v>
      </c>
      <c r="J69" s="12">
        <v>16410.079000000002</v>
      </c>
      <c r="K69" s="12">
        <v>9371.5959999999995</v>
      </c>
      <c r="L69" s="12">
        <f>SUM(C69:K69)</f>
        <v>71431.570000000007</v>
      </c>
      <c r="M69" s="12">
        <f>M68+L69</f>
        <v>6519738.5534514245</v>
      </c>
      <c r="N69" s="26">
        <v>72705</v>
      </c>
      <c r="O69" s="12">
        <v>47876</v>
      </c>
      <c r="P69" s="29">
        <v>72128</v>
      </c>
      <c r="R69" s="29">
        <v>0</v>
      </c>
      <c r="T69" s="26">
        <v>84344</v>
      </c>
      <c r="U69" s="12">
        <v>114355</v>
      </c>
      <c r="V69" s="26">
        <v>55440</v>
      </c>
      <c r="W69" s="12">
        <f>SUM(N69:V69)</f>
        <v>446848</v>
      </c>
      <c r="X69" s="12">
        <f>X68+W69</f>
        <v>49364597</v>
      </c>
      <c r="Y69" s="26">
        <v>24692.289274999999</v>
      </c>
      <c r="Z69" s="26">
        <v>27753.654444</v>
      </c>
      <c r="AA69" s="26">
        <v>21076.239227999999</v>
      </c>
      <c r="AC69" s="29">
        <v>0</v>
      </c>
      <c r="AE69" s="26">
        <v>20528.718428</v>
      </c>
      <c r="AF69" s="26">
        <v>16614.418642000001</v>
      </c>
      <c r="AG69" s="26">
        <v>27507.031382000001</v>
      </c>
      <c r="AH69" s="12">
        <f>SUM(Y69:AG69)</f>
        <v>138172.35139899998</v>
      </c>
      <c r="AI69" s="12">
        <f>AI68+AH69</f>
        <v>3986123.9986839998</v>
      </c>
      <c r="AO69">
        <f>AO68+1</f>
        <v>67</v>
      </c>
    </row>
    <row r="70" spans="2:41" x14ac:dyDescent="0.3">
      <c r="B70" s="28">
        <v>45809</v>
      </c>
      <c r="C70" s="12">
        <v>6462.5349999999999</v>
      </c>
      <c r="D70" s="26">
        <v>8344.8019999999997</v>
      </c>
      <c r="E70" s="12">
        <v>13741.994000000001</v>
      </c>
      <c r="G70">
        <v>0</v>
      </c>
      <c r="I70" s="12">
        <v>14250.914000000001</v>
      </c>
      <c r="J70" s="12">
        <v>16128.541999999999</v>
      </c>
      <c r="K70" s="12">
        <v>8253.9660000000003</v>
      </c>
      <c r="L70" s="12">
        <f>SUM(C70:K70)</f>
        <v>67182.752999999997</v>
      </c>
      <c r="M70" s="12">
        <f>M69+L70</f>
        <v>6586921.306451424</v>
      </c>
      <c r="N70" s="26">
        <v>53215</v>
      </c>
      <c r="O70" s="12">
        <v>34232</v>
      </c>
      <c r="P70" s="29">
        <v>56352</v>
      </c>
      <c r="R70" s="29">
        <v>0</v>
      </c>
      <c r="T70" s="26">
        <v>66931</v>
      </c>
      <c r="U70" s="12">
        <v>91711</v>
      </c>
      <c r="V70" s="26">
        <v>39671</v>
      </c>
      <c r="W70" s="12">
        <f>SUM(N70:V70)</f>
        <v>342112</v>
      </c>
      <c r="X70" s="12">
        <f>X69+W70</f>
        <v>49706709</v>
      </c>
      <c r="Y70" s="26">
        <v>26240.718529999998</v>
      </c>
      <c r="Z70" s="26">
        <v>29667.621713</v>
      </c>
      <c r="AA70" s="26">
        <v>22212.296618</v>
      </c>
      <c r="AC70" s="29">
        <v>0</v>
      </c>
      <c r="AE70" s="26">
        <v>21595.871053999999</v>
      </c>
      <c r="AF70" s="26">
        <v>17734.487357999998</v>
      </c>
      <c r="AG70" s="26">
        <v>29642.141732</v>
      </c>
      <c r="AH70" s="12">
        <f>SUM(Y70:AG70)</f>
        <v>147093.137005</v>
      </c>
      <c r="AI70" s="12">
        <f>AI69+AH70</f>
        <v>4133217.1356889997</v>
      </c>
      <c r="AO70">
        <f>AO69+1</f>
        <v>68</v>
      </c>
    </row>
    <row r="71" spans="2:41" x14ac:dyDescent="0.3">
      <c r="B71" s="28">
        <v>45839</v>
      </c>
      <c r="C71" s="12">
        <v>6971.2569999999996</v>
      </c>
      <c r="D71" s="26">
        <v>8410.1759999999995</v>
      </c>
      <c r="E71" s="12">
        <v>13682.441000000001</v>
      </c>
      <c r="G71">
        <v>0</v>
      </c>
      <c r="I71" s="12">
        <v>14709.546</v>
      </c>
      <c r="J71" s="12">
        <v>15649.231</v>
      </c>
      <c r="K71" s="12">
        <v>8414.5560000000005</v>
      </c>
      <c r="L71" s="12">
        <f>SUM(C71:K71)</f>
        <v>67837.206999999995</v>
      </c>
      <c r="M71" s="12">
        <f>M70+L71</f>
        <v>6654758.5134514244</v>
      </c>
      <c r="N71" s="26">
        <v>67910</v>
      </c>
      <c r="O71" s="12">
        <v>40749</v>
      </c>
      <c r="P71" s="29">
        <v>66352</v>
      </c>
      <c r="R71" s="29">
        <v>0</v>
      </c>
      <c r="T71" s="26">
        <v>81660</v>
      </c>
      <c r="U71">
        <v>105134</v>
      </c>
      <c r="V71" s="26">
        <v>47784</v>
      </c>
      <c r="W71" s="12">
        <f>SUM(N71:V71)</f>
        <v>409589</v>
      </c>
      <c r="X71" s="12">
        <f>X70+W71</f>
        <v>50116298</v>
      </c>
      <c r="Y71" s="26">
        <v>28348.996593</v>
      </c>
      <c r="Z71" s="26">
        <v>31023.639693000001</v>
      </c>
      <c r="AA71" s="26">
        <v>23541.601815999999</v>
      </c>
      <c r="AC71" s="29">
        <v>0</v>
      </c>
      <c r="AE71" s="26">
        <v>23065.237521999999</v>
      </c>
      <c r="AF71" s="26">
        <v>18014.723105000001</v>
      </c>
      <c r="AG71" s="26">
        <v>30964.760879000001</v>
      </c>
      <c r="AH71" s="12">
        <f>SUM(Y71:AG71)</f>
        <v>154958.959608</v>
      </c>
      <c r="AI71" s="12">
        <f>AI70+AH71</f>
        <v>4288176.0952969994</v>
      </c>
      <c r="AO71">
        <f>AO70+1</f>
        <v>69</v>
      </c>
    </row>
    <row r="72" spans="2:41" x14ac:dyDescent="0.3">
      <c r="B72" s="28"/>
      <c r="C72" s="12"/>
      <c r="L72" s="12"/>
      <c r="N72" s="26"/>
    </row>
  </sheetData>
  <mergeCells count="62">
    <mergeCell ref="AJ29:AM29"/>
    <mergeCell ref="AP29:AQ29"/>
    <mergeCell ref="AR3:AU4"/>
    <mergeCell ref="AR5:AU6"/>
    <mergeCell ref="AR7:AU8"/>
    <mergeCell ref="AR9:AU10"/>
    <mergeCell ref="AR11:AU12"/>
    <mergeCell ref="AR13:AU14"/>
    <mergeCell ref="AR15:AU16"/>
    <mergeCell ref="AR17:AU18"/>
    <mergeCell ref="AR19:AU20"/>
    <mergeCell ref="AR21:AU22"/>
    <mergeCell ref="AR23:AU24"/>
    <mergeCell ref="AR25:AU26"/>
    <mergeCell ref="AR27:AU28"/>
    <mergeCell ref="AR29:AU30"/>
    <mergeCell ref="AP30:AQ30"/>
    <mergeCell ref="AP25:AQ25"/>
    <mergeCell ref="AP26:AQ26"/>
    <mergeCell ref="AP27:AQ27"/>
    <mergeCell ref="AP28:AQ28"/>
    <mergeCell ref="AP22:AQ22"/>
    <mergeCell ref="AP23:AQ23"/>
    <mergeCell ref="AP24:AQ24"/>
    <mergeCell ref="AP19:AQ19"/>
    <mergeCell ref="AP20:AQ20"/>
    <mergeCell ref="AP21:AQ21"/>
    <mergeCell ref="AP16:AQ16"/>
    <mergeCell ref="AP17:AQ17"/>
    <mergeCell ref="AP18:AQ18"/>
    <mergeCell ref="AP13:AQ13"/>
    <mergeCell ref="AP14:AQ14"/>
    <mergeCell ref="AP15:AQ15"/>
    <mergeCell ref="AP10:AQ10"/>
    <mergeCell ref="AP11:AQ11"/>
    <mergeCell ref="AP12:AQ12"/>
    <mergeCell ref="AP7:AQ7"/>
    <mergeCell ref="AK8:AM9"/>
    <mergeCell ref="AN8:AN9"/>
    <mergeCell ref="AP8:AQ8"/>
    <mergeCell ref="AP9:AQ9"/>
    <mergeCell ref="AP4:AQ4"/>
    <mergeCell ref="AP5:AQ5"/>
    <mergeCell ref="AP6:AQ6"/>
    <mergeCell ref="BE1:BE2"/>
    <mergeCell ref="BF1:BF2"/>
    <mergeCell ref="AP3:AQ3"/>
    <mergeCell ref="BG1:BG2"/>
    <mergeCell ref="BL1:BO1"/>
    <mergeCell ref="AP2:AQ2"/>
    <mergeCell ref="BA1:BA2"/>
    <mergeCell ref="BC1:BC2"/>
    <mergeCell ref="BD1:BD2"/>
    <mergeCell ref="AW1:AW2"/>
    <mergeCell ref="AX1:AX2"/>
    <mergeCell ref="AY1:AY2"/>
    <mergeCell ref="AV1:AV2"/>
    <mergeCell ref="C1:L1"/>
    <mergeCell ref="N1:W1"/>
    <mergeCell ref="Y1:AH1"/>
    <mergeCell ref="AP1:AQ1"/>
    <mergeCell ref="AR1:AU2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Neharika Vasa</dc:creator>
  <cp:lastModifiedBy>Neharika Vasa</cp:lastModifiedBy>
  <dcterms:created xsi:type="dcterms:W3CDTF">2026-03-05T16:50:17Z</dcterms:created>
  <dcterms:modified xsi:type="dcterms:W3CDTF">2026-03-26T17:23:02Z</dcterms:modified>
</cp:coreProperties>
</file>